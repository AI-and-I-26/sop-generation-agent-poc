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45becee0fb282ce/Documents/Abhijit/AI and I/HubStor_04232026/"/>
    </mc:Choice>
  </mc:AlternateContent>
  <xr:revisionPtr revIDLastSave="4" documentId="11_EB717C3E2458AACCBCCD2E73C89D062396DFB39D" xr6:coauthVersionLast="47" xr6:coauthVersionMax="47" xr10:uidLastSave="{4B0C97DA-E406-462A-AEC5-C8616226F38A}"/>
  <bookViews>
    <workbookView xWindow="-108" yWindow="-108" windowWidth="23256" windowHeight="13896" tabRatio="500" xr2:uid="{00000000-000D-0000-FFFF-FFFF00000000}"/>
  </bookViews>
  <sheets>
    <sheet name="Master Report" sheetId="1" r:id="rId1"/>
    <sheet name="Connector Details" sheetId="2" r:id="rId2"/>
    <sheet name="AD Ownership" sheetId="3" r:id="rId3"/>
    <sheet name="Not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29" i="1" l="1"/>
  <c r="Q29" i="1"/>
  <c r="P29" i="1"/>
  <c r="O29" i="1"/>
  <c r="N29" i="1"/>
  <c r="M29" i="1"/>
  <c r="L29" i="1"/>
  <c r="K29" i="1"/>
  <c r="J29" i="1"/>
  <c r="R26" i="1"/>
  <c r="Q26" i="1"/>
  <c r="P26" i="1"/>
  <c r="O26" i="1"/>
  <c r="N26" i="1"/>
  <c r="M26" i="1"/>
  <c r="L26" i="1"/>
  <c r="K26" i="1"/>
  <c r="J26" i="1"/>
  <c r="R23" i="1"/>
  <c r="Q23" i="1"/>
  <c r="P23" i="1"/>
  <c r="O23" i="1"/>
  <c r="N23" i="1"/>
  <c r="M23" i="1"/>
  <c r="L23" i="1"/>
  <c r="K23" i="1"/>
  <c r="J23" i="1"/>
  <c r="R20" i="1"/>
  <c r="R30" i="1" s="1"/>
  <c r="Q20" i="1"/>
  <c r="Q30" i="1" s="1"/>
  <c r="P20" i="1"/>
  <c r="P30" i="1" s="1"/>
  <c r="O20" i="1"/>
  <c r="O30" i="1" s="1"/>
  <c r="N20" i="1"/>
  <c r="N30" i="1" s="1"/>
  <c r="M20" i="1"/>
  <c r="M30" i="1" s="1"/>
  <c r="L20" i="1"/>
  <c r="L30" i="1" s="1"/>
  <c r="K20" i="1"/>
  <c r="K30" i="1" s="1"/>
  <c r="J20" i="1"/>
  <c r="J30" i="1" s="1"/>
  <c r="P16" i="1"/>
  <c r="O16" i="1"/>
  <c r="J16" i="1"/>
  <c r="R15" i="1"/>
  <c r="Q15" i="1"/>
  <c r="P15" i="1"/>
  <c r="O15" i="1"/>
  <c r="N15" i="1"/>
  <c r="M15" i="1"/>
  <c r="L15" i="1"/>
  <c r="K15" i="1"/>
  <c r="J15" i="1"/>
  <c r="R12" i="1"/>
  <c r="R16" i="1" s="1"/>
  <c r="Q12" i="1"/>
  <c r="Q16" i="1" s="1"/>
  <c r="P12" i="1"/>
  <c r="O12" i="1"/>
  <c r="N12" i="1"/>
  <c r="N16" i="1" s="1"/>
  <c r="M12" i="1"/>
  <c r="M16" i="1" s="1"/>
  <c r="L12" i="1"/>
  <c r="L16" i="1" s="1"/>
  <c r="K12" i="1"/>
  <c r="K16" i="1" s="1"/>
  <c r="J12" i="1"/>
  <c r="R7" i="1"/>
  <c r="L7" i="1"/>
  <c r="K7" i="1"/>
  <c r="J7" i="1"/>
  <c r="R6" i="1"/>
  <c r="Q6" i="1"/>
  <c r="Q7" i="1" s="1"/>
  <c r="P6" i="1"/>
  <c r="P7" i="1" s="1"/>
  <c r="P31" i="1" s="1"/>
  <c r="O6" i="1"/>
  <c r="O7" i="1" s="1"/>
  <c r="O31" i="1" s="1"/>
  <c r="N6" i="1"/>
  <c r="N7" i="1" s="1"/>
  <c r="M6" i="1"/>
  <c r="M7" i="1" s="1"/>
  <c r="L6" i="1"/>
  <c r="K6" i="1"/>
  <c r="J6" i="1"/>
  <c r="R31" i="1" l="1"/>
  <c r="Q31" i="1"/>
</calcChain>
</file>

<file path=xl/sharedStrings.xml><?xml version="1.0" encoding="utf-8"?>
<sst xmlns="http://schemas.openxmlformats.org/spreadsheetml/2006/main" count="774" uniqueCount="308">
  <si>
    <t>Site Info</t>
  </si>
  <si>
    <t>Chargeback &amp; Ownership</t>
  </si>
  <si>
    <t>Connectors</t>
  </si>
  <si>
    <t>Azure Blob Tier — Avg Usage (GiB)</t>
  </si>
  <si>
    <t>Cost Breakdown (USD)  ✦  Total = Storage + Non-Storage</t>
  </si>
  <si>
    <t>Site</t>
  </si>
  <si>
    <t>Region</t>
  </si>
  <si>
    <t>Location</t>
  </si>
  <si>
    <t>Stor Name</t>
  </si>
  <si>
    <t>Total Capacity</t>
  </si>
  <si>
    <t>Chargeback Tag</t>
  </si>
  <si>
    <t>Dominant Tier</t>
  </si>
  <si>
    <t>AD Owner(s)</t>
  </si>
  <si>
    <t># Connectors</t>
  </si>
  <si>
    <t>Standard (GiB)</t>
  </si>
  <si>
    <t>Hot (GiB)</t>
  </si>
  <si>
    <t>Cool (GiB)</t>
  </si>
  <si>
    <t>Cold (GiB)</t>
  </si>
  <si>
    <t>Archive (GiB)</t>
  </si>
  <si>
    <t>Total Usage (GiB)</t>
  </si>
  <si>
    <t>Storage Cost ($)</t>
  </si>
  <si>
    <t>Non-Storage Cost ($)</t>
  </si>
  <si>
    <t>Total Cost ($)</t>
  </si>
  <si>
    <t xml:space="preserve">  📍  GermanyWestCentral   |   Azure Germany West Central   |   Frankfurt, Germany</t>
  </si>
  <si>
    <t xml:space="preserve">   🗄  Discovery DE Files   (Capacity: 49.12 TiB   |   Owner(s): Florian Schlatterer; Shreeshastha Shetty   |   Connectors: 11)</t>
  </si>
  <si>
    <t>GermanyWestCentral</t>
  </si>
  <si>
    <t>Azure Germany West Central</t>
  </si>
  <si>
    <t>Frankfurt, Germany</t>
  </si>
  <si>
    <t>Discovery DE Files</t>
  </si>
  <si>
    <t>49.12 TiB</t>
  </si>
  <si>
    <t>FRI-Discovery</t>
  </si>
  <si>
    <t>Archive</t>
  </si>
  <si>
    <t>Florian Schlatterer; Shreeshastha Shetty</t>
  </si>
  <si>
    <t>↳ Stor Subtotal</t>
  </si>
  <si>
    <t>✔ GermanyWestCentral TOTAL</t>
  </si>
  <si>
    <t xml:space="preserve">  📍  UKSouth   |   Azure UK South   |   London, UK</t>
  </si>
  <si>
    <t xml:space="preserve">   🗄  Early Discovery UK Files   (Capacity: 388.96 TiB   |   Owner(s): Stuart Kiff; Dash, Sam   |   Connectors: 43)</t>
  </si>
  <si>
    <t>UKSouth</t>
  </si>
  <si>
    <t>Azure UK South</t>
  </si>
  <si>
    <t>London, UK</t>
  </si>
  <si>
    <t>Early Discovery UK Files</t>
  </si>
  <si>
    <t>388.96 TiB</t>
  </si>
  <si>
    <t>CRP-EarlyDiscovery</t>
  </si>
  <si>
    <t>Stuart Kiff; Dash, Sam</t>
  </si>
  <si>
    <t>HAR-EarlyDiscovery</t>
  </si>
  <si>
    <t>Matt Bishop</t>
  </si>
  <si>
    <t xml:space="preserve">   🗄  Portishead Discovery UK Files   (Capacity: 26.44 TiB   |   Owner(s): Andrew Morris   |   Connectors: 5)</t>
  </si>
  <si>
    <t>Portishead Discovery UK Files</t>
  </si>
  <si>
    <t>26.44 TiB</t>
  </si>
  <si>
    <t>PTH-Discovery</t>
  </si>
  <si>
    <t>Andrew Morris</t>
  </si>
  <si>
    <t>✔ UKSouth TOTAL</t>
  </si>
  <si>
    <t xml:space="preserve">  📍  WestEurope   |   Azure West Europe   |   Amsterdam, Netherlands</t>
  </si>
  <si>
    <t xml:space="preserve">   🗄  Early Discovery NL Files   (Capacity: 314.08 TiB   |   Owner(s): Derk Rientjes; Kaner Kalkan   |   Connectors: 22)</t>
  </si>
  <si>
    <t>WestEurope</t>
  </si>
  <si>
    <t>Azure West Europe</t>
  </si>
  <si>
    <t>Amsterdam, Netherlands</t>
  </si>
  <si>
    <t>Early Discovery NL Files</t>
  </si>
  <si>
    <t>314.08 TiB</t>
  </si>
  <si>
    <t>LEI-EarlyDiscovery</t>
  </si>
  <si>
    <t>Derk Rientjes; Kaner Kalkan</t>
  </si>
  <si>
    <t xml:space="preserve">   🗄  Discovery NL Files   (Capacity: 3.86 TiB   |   Owner(s): Derk Rientjes; Kaner Kalkan   |   Connectors: 2)</t>
  </si>
  <si>
    <t>Discovery NL Files</t>
  </si>
  <si>
    <t>3.86 TiB</t>
  </si>
  <si>
    <t>GRO-Discovery</t>
  </si>
  <si>
    <t xml:space="preserve">   🗄  Discovery FI Files   (Capacity: 38.58 TiB   |   Owner(s): Mikko Kukkonen   |   Connectors: 19)</t>
  </si>
  <si>
    <t>Discovery FI Files</t>
  </si>
  <si>
    <t>38.58 TiB</t>
  </si>
  <si>
    <t>KUO-Discovery</t>
  </si>
  <si>
    <t>Mikko Kukkonen</t>
  </si>
  <si>
    <t xml:space="preserve">   🗄  Discovery HU Files   (Capacity: 35.75 GiB   |   Owner(s): Gyorgy Horvath   |   Connectors: 1)</t>
  </si>
  <si>
    <t>Discovery HU Files</t>
  </si>
  <si>
    <t>35.75 GiB</t>
  </si>
  <si>
    <t>SZG-Discovery</t>
  </si>
  <si>
    <t>Cool</t>
  </si>
  <si>
    <t>Gyorgy Horvath</t>
  </si>
  <si>
    <t>✔ WestEurope TOTAL</t>
  </si>
  <si>
    <t>★  GRAND TOTAL</t>
  </si>
  <si>
    <t>Machine Name</t>
  </si>
  <si>
    <t>Connector Name</t>
  </si>
  <si>
    <t>📍 EastUS2</t>
  </si>
  <si>
    <t>EastUS2</t>
  </si>
  <si>
    <t>Microbial East US Files</t>
  </si>
  <si>
    <t>CHA-PR-ARC-01</t>
  </si>
  <si>
    <t>US-CHA-CHA-PR-ARC-01-METASYS</t>
  </si>
  <si>
    <t>US-CHA-CHA-PR-ARC-01-MODA</t>
  </si>
  <si>
    <t>US-CHA-CHA-PR-ARC-01-TEST</t>
  </si>
  <si>
    <t>DEL-PR-ARC-02</t>
  </si>
  <si>
    <t>US-DEL-DEL-PR-BKU-02-Archive</t>
  </si>
  <si>
    <t>QualificationTesting</t>
  </si>
  <si>
    <t>WLM-QA-NSP-01</t>
  </si>
  <si>
    <t>WLM-QA-NSP-01-TEST</t>
  </si>
  <si>
    <t>RMS East US Files</t>
  </si>
  <si>
    <t>WLM-PR-FIL-05</t>
  </si>
  <si>
    <t>US-WLM-WLM-PR-FIL-05-F-TEST</t>
  </si>
  <si>
    <t>US-WLM-WLM-PR-FIL-05-I-DEPT-LAB2-NGS-Archive</t>
  </si>
  <si>
    <t>US-WLM-WLM-PR-FIL-05-I-DEPT-LAB2-TEST ARCHIVE FOLDER</t>
  </si>
  <si>
    <t>Safety Assessment East US Files</t>
  </si>
  <si>
    <t>APO-PR-APP-02</t>
  </si>
  <si>
    <t>US-SPE-APO-PR-APP-02-DPI</t>
  </si>
  <si>
    <t>APO-PR-APP-03</t>
  </si>
  <si>
    <t>US-ASH-APO-PR-APP-03-DPI</t>
  </si>
  <si>
    <t>APO-PR-APP-04</t>
  </si>
  <si>
    <t>US-SEN-APO-PR-APP-04-DPI</t>
  </si>
  <si>
    <t>APO-PR-APP-05</t>
  </si>
  <si>
    <t>US-MWN-APO-PR-APP-05-DPI</t>
  </si>
  <si>
    <t>APO-PR-APP-09</t>
  </si>
  <si>
    <t>US-DUR-APO-PR-APP-09-DPI</t>
  </si>
  <si>
    <t>APO-PR-APP-11</t>
  </si>
  <si>
    <t>US-SHR-APO-PR-APP-11-DPI</t>
  </si>
  <si>
    <t>APO-PR-APP-12</t>
  </si>
  <si>
    <t>US-LAV-APO-PR-APP-12-DPI</t>
  </si>
  <si>
    <t>APO-PR-APP-14</t>
  </si>
  <si>
    <t>US-SHB-APO-PR-APP-14-DPI</t>
  </si>
  <si>
    <t>MWN-PR-FIL-01</t>
  </si>
  <si>
    <t>US-MWN-PR-FIL-01-MA1NAS02-ACCOUNTING</t>
  </si>
  <si>
    <t>US-MWN-PR-FIL-01-MicroCT</t>
  </si>
  <si>
    <t>📍 GermanyWestCentral</t>
  </si>
  <si>
    <t>FRI-PR-FIL-01</t>
  </si>
  <si>
    <t>DE-FRI-PR-FIL-01-D-drive_d.copy-O</t>
  </si>
  <si>
    <t>DE-FRI-PR-NAS-02 HistoSlides 1.Project Pharma</t>
  </si>
  <si>
    <t>DE-FRI-PR-NAS-03 Bioinformatics Data</t>
  </si>
  <si>
    <t>FRI-PR-FIL-02</t>
  </si>
  <si>
    <t>DE-FRI-PR-FIL-02-E-Shares-Imaging-CellInsightNXT-CS_DATA</t>
  </si>
  <si>
    <t>DE-FRI-PR-FIL-02-E-shares-Laboratories</t>
  </si>
  <si>
    <t>FRI-PR-FIL-04</t>
  </si>
  <si>
    <t>DE-FRI-FRI-PR-QST-01-Corporate-BDB-Analysis</t>
  </si>
  <si>
    <t>DE-FRI-PR-QST-01-Corporate-BDB-Annotations</t>
  </si>
  <si>
    <t>DE-FRI-PR-QST-01-Corporate-BDB-RAW-AFFYMETRIX-HGU133</t>
  </si>
  <si>
    <t>DE-FRI-PR-QST-01-Corporate-BDB-RAW-AFFYMETRIX-SNP6</t>
  </si>
  <si>
    <t>DE-FRI-PR-QST-01-Corporate-BDB-RAW-MISC</t>
  </si>
  <si>
    <t>DE-FRI-PR-QST-01-Corporate-BDB-RAW-RNASEQ</t>
  </si>
  <si>
    <t>📍 UKSouth</t>
  </si>
  <si>
    <t>CPDATA1</t>
  </si>
  <si>
    <t>UK-CHE-PR-QUBE025</t>
  </si>
  <si>
    <t>UK-CHE-PR-QUBE055</t>
  </si>
  <si>
    <t>UK-CHE-WIN-MPHRR6PS78R</t>
  </si>
  <si>
    <t>UK-CRP-CPDATA1-F-Done</t>
  </si>
  <si>
    <t>UK-CRP-CPDATA1-G-Done</t>
  </si>
  <si>
    <t>UK-CRP-CPDATA1-H</t>
  </si>
  <si>
    <t>UK-CRP-CPDATA1-I</t>
  </si>
  <si>
    <t>UK-CRP-CPDATA1-ITTest</t>
  </si>
  <si>
    <t>UK-CRP-CPDATA1-J-Data-Done</t>
  </si>
  <si>
    <t>UK-CRP-CPDATA1-J-Lab-books- Done</t>
  </si>
  <si>
    <t>UK-CRP-CPDATA1-K-Done</t>
  </si>
  <si>
    <t>UK-CRP-CPDATA1-Q-Archive</t>
  </si>
  <si>
    <t>UK-CRP-CPDATA1-TEST</t>
  </si>
  <si>
    <t>UK-CRP-QNap-CRP_Archive-Done</t>
  </si>
  <si>
    <t>UK-CRP-QStar-Instrument</t>
  </si>
  <si>
    <t>UK-CRP-QStar-Projects</t>
  </si>
  <si>
    <t>UK-CRP-Qube2-B600ServerRoom-ZipFilesOnly-E</t>
  </si>
  <si>
    <t>CRPSRV50</t>
  </si>
  <si>
    <t>UK-CRP-CRP-PR-HCS-01-E</t>
  </si>
  <si>
    <t>UK-CRP-CRP-PR-HCS-01-F</t>
  </si>
  <si>
    <t>HAR-PR-INCELL-0</t>
  </si>
  <si>
    <t>UK-HAR-HAR-PR-INCELL-01-2024</t>
  </si>
  <si>
    <t>UK-HAR-HAR-PR-INCELL-01-INCELL DATA</t>
  </si>
  <si>
    <t>UK-HAR-HAR-PR-INCELL-01-INCUCYTE</t>
  </si>
  <si>
    <t>HARVM02</t>
  </si>
  <si>
    <t>UK-HAR-ARCHIVE-Eadmet</t>
  </si>
  <si>
    <t>UK-HAR-HARVM02-Business_Record_Folder_Archive</t>
  </si>
  <si>
    <t>UK-HAR-HARVM02-Department</t>
  </si>
  <si>
    <t>UK-HAR-HARVM02-Project</t>
  </si>
  <si>
    <t>UK-HAR-INSTRUMENT-Analytics</t>
  </si>
  <si>
    <t>UK-HAR-INSTRUMENT-Analytics-Linux</t>
  </si>
  <si>
    <t>UK-HAR-INSTRUMENT-Analytics-Linux-2</t>
  </si>
  <si>
    <t>PTH-PR-FIL-01</t>
  </si>
  <si>
    <t>UK-PTH-PTH-PR-FIL-01-HPE-LAB_Archive</t>
  </si>
  <si>
    <t>UK-PTH-PTH-PR-FIL-01-INCUCYTE2018</t>
  </si>
  <si>
    <t>UK-PTH-PTH-PR-FIL-01-INCUCYTE2019</t>
  </si>
  <si>
    <t>UK-PTH-PTH-PR-FIL-01-INCUCYTE2020</t>
  </si>
  <si>
    <t>UK-PTH-PTH-PR-FIL-01-INCUCYTE2021</t>
  </si>
  <si>
    <t>UK-PTH-PTH-PR-FIL-01-INCUCYTE2022</t>
  </si>
  <si>
    <t>UK-PTH-PTH-PR-FIL-01-INCUCYTE2023</t>
  </si>
  <si>
    <t>UK-PTH-PTH-PR-FIL-01-INCUCYTE2024-duplicate</t>
  </si>
  <si>
    <t>crl-uksouth-hcs</t>
  </si>
  <si>
    <t>Data Box - hubstorcrpdatabox - qnap</t>
  </si>
  <si>
    <t>Data Box - hubstorcrpdatabox - qstar</t>
  </si>
  <si>
    <t>Data Box - hubstorharlowdatabox - corporate</t>
  </si>
  <si>
    <t>Data Box - hubstorharlowdatabox - Instrument (incomplete)</t>
  </si>
  <si>
    <t>Data Box - hubstorharlowdatabox - plasmonarchive (incomplete)</t>
  </si>
  <si>
    <t>Data Box - hubstorharlowdatabox - projects</t>
  </si>
  <si>
    <t>UK-PTH-PTH-PR-FIL-01-Archive</t>
  </si>
  <si>
    <t>UK-PTH-PTH-PR-FIL-01-Company</t>
  </si>
  <si>
    <t>UK-PTH-PTH-PR-FIL-01-HPE-LAB</t>
  </si>
  <si>
    <t>UK-PTH-PTH-PR-FIL-01-INCUCYTE2024</t>
  </si>
  <si>
    <t>UK-PTH-PTH-PR-FIL-01-INCUCYTE2025</t>
  </si>
  <si>
    <t>SDMS ED UK Files</t>
  </si>
  <si>
    <t>CRPSRV62</t>
  </si>
  <si>
    <t>UK-CRP-CRPSRV62-Managed_store01</t>
  </si>
  <si>
    <t>UK-CRP-CRPSRV62-Managed_store02</t>
  </si>
  <si>
    <t>UK-CRP-CRPSRV62-Managed_store03</t>
  </si>
  <si>
    <t>UK-CRP-CRPSRV62-Managed_store04</t>
  </si>
  <si>
    <t>Safety Assessment UK Files</t>
  </si>
  <si>
    <t>APO-PR-APP-07</t>
  </si>
  <si>
    <t>UK-EDI-APO-PR-APP-07-DPI</t>
  </si>
  <si>
    <t>📍 WestEurope</t>
  </si>
  <si>
    <t>KUO-PR-APP-01</t>
  </si>
  <si>
    <t>FI-KUO-KUO-PR-APP-01-D-MRI-Data_MiscFolders</t>
  </si>
  <si>
    <t>FI-KUO-KUO-PR-APP-01-D-MRI-Data-01-Studies-2022</t>
  </si>
  <si>
    <t>FI-KUO-KUO-PR-APP-01-D-MRI-Data-01-Studies-2023</t>
  </si>
  <si>
    <t>FI-KUO-KUO-PR-APP-01-D-MRI-Data-01-Studies-2024</t>
  </si>
  <si>
    <t>FI-KUO-KUO-PR-APP-01-D-MRI-Data-01-Studies-2025</t>
  </si>
  <si>
    <t>KUO-PR-FIL-01</t>
  </si>
  <si>
    <t>FI-KUO-KUO-PR-FIL-01-E-Archive</t>
  </si>
  <si>
    <t>FI-KUO-MRI-DATA-01_Studies-2019</t>
  </si>
  <si>
    <t>FI-KUO-MRI-DATA-01_Studies-2020</t>
  </si>
  <si>
    <t>FI-KUO-MRI-DATA-01_Studies-2021</t>
  </si>
  <si>
    <t>FI-KUO-MRI-DATA-01_Studies-2022</t>
  </si>
  <si>
    <t>FI-KUO-MRI-DATA-01_Studies-2023</t>
  </si>
  <si>
    <t>FI-KUO-MRI-DATA-01_Studies-2024</t>
  </si>
  <si>
    <t>FI-KUO-MRI-DATA-02_Marketing</t>
  </si>
  <si>
    <t>FI-KUO-MRI-DATA-03_Users</t>
  </si>
  <si>
    <t>FI-KUO-MRI-DATA-04_Documents</t>
  </si>
  <si>
    <t>FI-KUO-MRI-DATA-06_fUS</t>
  </si>
  <si>
    <t>FI-KUO-MRI-DATA-07_Bruker_docs</t>
  </si>
  <si>
    <t>FI-KUO-MRI-DATA-08_Bruker_Validation</t>
  </si>
  <si>
    <t>FI-KUO-MRI-DATA-10_SOP_and_Instructions</t>
  </si>
  <si>
    <t>SOLVOFS2</t>
  </si>
  <si>
    <t>HU-SZG-SOLVOFS2-INS_BA</t>
  </si>
  <si>
    <t>GRO-FILE01</t>
  </si>
  <si>
    <t>NL-GRO-GRO-FILE01</t>
  </si>
  <si>
    <t>GRO-PR-FILE-01</t>
  </si>
  <si>
    <t>NL-GRO-GRO-PR-FILE-01</t>
  </si>
  <si>
    <t>FI-KUO-KUO-PR-APP-01-D-MRI-Data-01-Studies-2022_NOT_TO_USE_(NL FILES)</t>
  </si>
  <si>
    <t>FI-KUO-KUO-PR-APP-01-D-MRI-Data-01-Studies-2023_NOT_TO_USE_(NL FILES)</t>
  </si>
  <si>
    <t>LEI-PR-HCA-01</t>
  </si>
  <si>
    <t>NL-LEI-LEI-PR-HCA-01-2020</t>
  </si>
  <si>
    <t>NL-LEI-LEI-PR-HCA-01-2021</t>
  </si>
  <si>
    <t>NL-LEI-LEI-PR-HCA-01-2022</t>
  </si>
  <si>
    <t>NL-LEI-LEI-PR-HCA-01-2023</t>
  </si>
  <si>
    <t>NL-LEI-LEI-PR-HCA-01-2024</t>
  </si>
  <si>
    <t>NL-LEI-LEI-PR-HCA-01-2025</t>
  </si>
  <si>
    <t>NL-LEI-LEI-PR-HCA-01-2026</t>
  </si>
  <si>
    <t>NL-LEI-LEI-PR-HCA-01-CELLPAINTING-2025</t>
  </si>
  <si>
    <t>NL-LEI-LEI-PR-HCA-01-CELLPAINTING-2026</t>
  </si>
  <si>
    <t>LEI-PR-REP-01</t>
  </si>
  <si>
    <t>NL-LEI-QNAP01-ARCHIVE2017_LEI-PR-REP-01</t>
  </si>
  <si>
    <t>NL-LEI-QNAP-01-ARCHIVE2018_LEI-PR-REP-01</t>
  </si>
  <si>
    <t>NL-LEI-QNAP-01-ARCHIVE2019_LEI-PR-REP-01</t>
  </si>
  <si>
    <t>LEISRV06</t>
  </si>
  <si>
    <t>NL-LEI-LEISRV06-PROJECTS_CLOSED</t>
  </si>
  <si>
    <t>NL-LEI-QSTAR-Projects</t>
  </si>
  <si>
    <t>LEISRV06-2023</t>
  </si>
  <si>
    <t>NL-LEI-LEISRV06(new server 2023)-PROJECTS_CLOSED</t>
  </si>
  <si>
    <t>NL-LEI-LEISRV06-INSTRUMENT_DATA</t>
  </si>
  <si>
    <t>NL-LEI-LEISRV06-NGS-ACTIVE</t>
  </si>
  <si>
    <t>NL-LEI-LEISRV06-NGS-ARCHIVE</t>
  </si>
  <si>
    <t>NL-LEI-LEISRV06-PHOTOS</t>
  </si>
  <si>
    <t>LEIVM05</t>
  </si>
  <si>
    <t>NL-LEI-LEIVM05-2020</t>
  </si>
  <si>
    <t>Safety Assessment FR Files</t>
  </si>
  <si>
    <t>APO-PR-APP-08</t>
  </si>
  <si>
    <t>FR-LYN-APO-PR-APO-08-DPI</t>
  </si>
  <si>
    <t>APO-PR-APP-13</t>
  </si>
  <si>
    <t>FR-EVR-APO-PR-APP-13-DPI</t>
  </si>
  <si>
    <t>Safety Assessment NL Files</t>
  </si>
  <si>
    <t>APO-PR-APP-10</t>
  </si>
  <si>
    <t>NL-HER-APO-PR-APP-10-DPI</t>
  </si>
  <si>
    <t>📍 WestUS2</t>
  </si>
  <si>
    <t>WestUS2</t>
  </si>
  <si>
    <t>Safety Assessment West US Files</t>
  </si>
  <si>
    <t>APO-PR-APP-01</t>
  </si>
  <si>
    <t>US-NV-APO-PR-APP-01-DPI</t>
  </si>
  <si>
    <t>LON-FS1</t>
  </si>
  <si>
    <t>US-RNO-LON-FS1-F-UNIT</t>
  </si>
  <si>
    <t>RNOP-APO-APP-01</t>
  </si>
  <si>
    <t>AD Group</t>
  </si>
  <si>
    <t>Member Name</t>
  </si>
  <si>
    <t>AD Folder / Location</t>
  </si>
  <si>
    <t>Mapped Site</t>
  </si>
  <si>
    <t>SAD-HubStor-UKSouth-Web_App</t>
  </si>
  <si>
    <t>Portishead-UK</t>
  </si>
  <si>
    <t>Daniel Emerick</t>
  </si>
  <si>
    <t>Mattawan-MI</t>
  </si>
  <si>
    <t>Dash, Sam</t>
  </si>
  <si>
    <t>Chesterford-UK</t>
  </si>
  <si>
    <t>Derk Rientjes</t>
  </si>
  <si>
    <t>Leiden-NL</t>
  </si>
  <si>
    <t>Florian Schlatterer</t>
  </si>
  <si>
    <t>Freiburg-DE</t>
  </si>
  <si>
    <t>Francois Cyr</t>
  </si>
  <si>
    <t>Senneville-QC</t>
  </si>
  <si>
    <t>hubstor</t>
  </si>
  <si>
    <t>Service Accounts</t>
  </si>
  <si>
    <t>Kaner Kalkan</t>
  </si>
  <si>
    <t>Edinburgh-UK</t>
  </si>
  <si>
    <t>Shreeshastha Shetty</t>
  </si>
  <si>
    <t>Stuart Kiff</t>
  </si>
  <si>
    <t>Weygandt, Mark</t>
  </si>
  <si>
    <t>Ashland-OH</t>
  </si>
  <si>
    <t>SAD-HubStor-WestEurope-Web_App</t>
  </si>
  <si>
    <t>Szeged-HU</t>
  </si>
  <si>
    <t>Julien Niceron</t>
  </si>
  <si>
    <t>Evreux-FR</t>
  </si>
  <si>
    <t>Kuopio-FI</t>
  </si>
  <si>
    <t>SAD-HubStor-EastUS2-Web_App</t>
  </si>
  <si>
    <t>Joe A. Raimondo</t>
  </si>
  <si>
    <t>Newark-DE</t>
  </si>
  <si>
    <t>Nice job, Abhijit. The report is a great starting point. </t>
  </si>
  <si>
    <t>Joe Raimondo from Newark, Delaware has a lot of experience with HubStor and is great to work with in general. He’ll likely be a good contact in the field. </t>
  </si>
  <si>
    <t>Thanks,</t>
  </si>
  <si>
    <t>Shawn </t>
  </si>
  <si>
    <t>Thanks, Abhijit. Well done, and that's nice to hear. I think that report generally looks good. Here are a few thoughts:</t>
  </si>
  <si>
    <t>Any of the connectors with "APO" in the name are likely for the Aperio servers, for which Francois Cyr would probably be the main contact, even for the locations where he is not a site-specific support person. </t>
  </si>
  <si>
    <t>Andrew Atkinson in Charleston may be able to add insight into the CHA-Microbial that is with the DEL-Microbial with Joe Raimondo from Newark, Delaware.  I think Charleston tested it initially for use but may have ended up not doing much with it for that site.</t>
  </si>
  <si>
    <t>Reno would have been Darin McCarthy, and Mattawan would have been Nick Cochran, both of whom are no longer with the company.  The HubStor agent is probably not being actively managed now, and we may need to engage local site teams about the servers that have connectors.  </t>
  </si>
  <si>
    <t>I am also not sure if Dan Emerick is associated with the RMS data, and that may have been another person from Wilmington who is no longer here. That appears to be a specific server and lab data, for which a system owner can hopefully be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</si>
</sst>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7" x14ac:knownFonts="1">
    <font>
      <sz val="11"/>
      <color theme="1"/>
      <name val="Calibri"/>
      <family val="2"/>
      <charset val="1"/>
    </font>
    <font>
      <b/>
      <sz val="9"/>
      <color rgb="FFFFFFFF"/>
      <name val="Arial"/>
      <charset val="1"/>
    </font>
    <font>
      <b/>
      <sz val="10"/>
      <color rgb="FFFFFFFF"/>
      <name val="Arial"/>
      <charset val="1"/>
    </font>
    <font>
      <b/>
      <sz val="9"/>
      <color rgb="FF000000"/>
      <name val="Arial"/>
      <charset val="1"/>
    </font>
    <font>
      <sz val="9"/>
      <color rgb="FF000000"/>
      <name val="Arial"/>
      <charset val="1"/>
    </font>
    <font>
      <b/>
      <sz val="9"/>
      <color rgb="FF7F0000"/>
      <name val="Arial"/>
      <charset val="1"/>
    </font>
    <font>
      <sz val="12"/>
      <color rgb="FF000000"/>
      <name val="Aptos"/>
      <family val="2"/>
      <charset val="1"/>
    </font>
  </fonts>
  <fills count="10">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BDD7EE"/>
        <bgColor rgb="FF99CCFF"/>
      </patternFill>
    </fill>
    <fill>
      <patternFill patternType="solid">
        <fgColor rgb="FFFFFFFF"/>
        <bgColor rgb="FFEBF3FB"/>
      </patternFill>
    </fill>
    <fill>
      <patternFill patternType="solid">
        <fgColor rgb="FFFFF2CC"/>
        <bgColor rgb="FFFCE4D6"/>
      </patternFill>
    </fill>
    <fill>
      <patternFill patternType="solid">
        <fgColor rgb="FFFCE4D6"/>
        <bgColor rgb="FFFFF2CC"/>
      </patternFill>
    </fill>
    <fill>
      <patternFill patternType="solid">
        <fgColor rgb="FFEBF3FB"/>
        <bgColor rgb="FFFFFFFF"/>
      </patternFill>
    </fill>
    <fill>
      <patternFill patternType="solid">
        <fgColor rgb="FFFFFF00"/>
        <bgColor rgb="FFFFFF00"/>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33">
    <xf numFmtId="0" fontId="0" fillId="0" borderId="0" xfId="0"/>
    <xf numFmtId="0" fontId="3" fillId="4" borderId="2" xfId="0" applyFont="1" applyFill="1" applyBorder="1"/>
    <xf numFmtId="0" fontId="2" fillId="3" borderId="2"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4" fillId="5" borderId="1" xfId="0" applyFont="1" applyFill="1" applyBorder="1" applyAlignment="1">
      <alignment vertical="center"/>
    </xf>
    <xf numFmtId="0" fontId="4" fillId="5" borderId="1" xfId="0" applyFont="1" applyFill="1" applyBorder="1" applyAlignment="1">
      <alignment vertical="center" wrapText="1"/>
    </xf>
    <xf numFmtId="4" fontId="4" fillId="5" borderId="1" xfId="0" applyNumberFormat="1" applyFont="1" applyFill="1" applyBorder="1" applyAlignment="1">
      <alignment vertical="center"/>
    </xf>
    <xf numFmtId="4" fontId="4" fillId="0" borderId="1" xfId="0" applyNumberFormat="1" applyFont="1" applyBorder="1" applyAlignment="1">
      <alignment vertical="center"/>
    </xf>
    <xf numFmtId="164" fontId="4" fillId="5" borderId="1" xfId="0" applyNumberFormat="1" applyFont="1" applyFill="1" applyBorder="1" applyAlignment="1">
      <alignment vertical="center"/>
    </xf>
    <xf numFmtId="164" fontId="4" fillId="0" borderId="1" xfId="0" applyNumberFormat="1" applyFont="1" applyBorder="1" applyAlignment="1">
      <alignment vertical="center"/>
    </xf>
    <xf numFmtId="0" fontId="3" fillId="6" borderId="1" xfId="0" applyFont="1" applyFill="1" applyBorder="1"/>
    <xf numFmtId="4" fontId="3" fillId="6" borderId="1" xfId="0" applyNumberFormat="1" applyFont="1" applyFill="1" applyBorder="1"/>
    <xf numFmtId="164" fontId="3" fillId="6" borderId="1" xfId="0" applyNumberFormat="1" applyFont="1" applyFill="1" applyBorder="1"/>
    <xf numFmtId="0" fontId="5" fillId="7" borderId="1" xfId="0" applyFont="1" applyFill="1" applyBorder="1"/>
    <xf numFmtId="4" fontId="5" fillId="7" borderId="1" xfId="0" applyNumberFormat="1" applyFont="1" applyFill="1" applyBorder="1"/>
    <xf numFmtId="164" fontId="5" fillId="7" borderId="1" xfId="0" applyNumberFormat="1" applyFont="1" applyFill="1" applyBorder="1"/>
    <xf numFmtId="0" fontId="4" fillId="8" borderId="1" xfId="0" applyFont="1" applyFill="1" applyBorder="1" applyAlignment="1">
      <alignment vertical="center"/>
    </xf>
    <xf numFmtId="0" fontId="4" fillId="8" borderId="1" xfId="0" applyFont="1" applyFill="1" applyBorder="1" applyAlignment="1">
      <alignment vertical="center" wrapText="1"/>
    </xf>
    <xf numFmtId="4" fontId="4" fillId="8" borderId="1" xfId="0" applyNumberFormat="1" applyFont="1" applyFill="1" applyBorder="1" applyAlignment="1">
      <alignment vertical="center"/>
    </xf>
    <xf numFmtId="164" fontId="4" fillId="8" borderId="1" xfId="0" applyNumberFormat="1" applyFont="1" applyFill="1" applyBorder="1" applyAlignment="1">
      <alignment vertical="center"/>
    </xf>
    <xf numFmtId="0" fontId="2" fillId="2" borderId="1" xfId="0" applyFont="1" applyFill="1" applyBorder="1"/>
    <xf numFmtId="4" fontId="2" fillId="2" borderId="1" xfId="0" applyNumberFormat="1" applyFont="1" applyFill="1" applyBorder="1"/>
    <xf numFmtId="164" fontId="2" fillId="2" borderId="1" xfId="0" applyNumberFormat="1" applyFont="1" applyFill="1" applyBorder="1"/>
    <xf numFmtId="0" fontId="2" fillId="2" borderId="1" xfId="0" applyFont="1" applyFill="1" applyBorder="1" applyAlignment="1">
      <alignment horizontal="center" vertical="center"/>
    </xf>
    <xf numFmtId="0" fontId="1" fillId="3" borderId="1" xfId="0" applyFont="1" applyFill="1" applyBorder="1"/>
    <xf numFmtId="0" fontId="0" fillId="0" borderId="3" xfId="0" applyBorder="1"/>
    <xf numFmtId="0" fontId="0" fillId="0" borderId="4" xfId="0" applyBorder="1"/>
    <xf numFmtId="0" fontId="4" fillId="9" borderId="1" xfId="0" applyFont="1" applyFill="1" applyBorder="1" applyAlignment="1">
      <alignment vertical="center"/>
    </xf>
    <xf numFmtId="0" fontId="6" fillId="0" borderId="0" xfId="0" applyFont="1" applyAlignment="1">
      <alignment vertical="center"/>
    </xf>
    <xf numFmtId="0" fontId="6" fillId="9" borderId="0" xfId="0" applyFont="1" applyFill="1" applyAlignment="1">
      <alignment vertical="center"/>
    </xf>
    <xf numFmtId="0" fontId="0" fillId="9" borderId="0" xfId="0" applyFill="1"/>
  </cellXfs>
  <cellStyles count="1">
    <cellStyle name="Normal" xfId="0" builtinId="0"/>
  </cellStyles>
  <dxfs count="0"/>
  <tableStyles count="1" defaultTableStyle="TableStyleMedium2" defaultPivotStyle="PivotStyleLight16">
    <tableStyle name="Invisible" pivot="0" table="0" count="0" xr9:uid="{75DA2EE0-ABFE-4DF1-89C2-722164AE8320}"/>
  </tableStyles>
  <colors>
    <indexedColors>
      <rgbColor rgb="FF000000"/>
      <rgbColor rgb="FFFFFFFF"/>
      <rgbColor rgb="FFFF0000"/>
      <rgbColor rgb="FF00FF00"/>
      <rgbColor rgb="FF0000FF"/>
      <rgbColor rgb="FFFFFF00"/>
      <rgbColor rgb="FFFF00FF"/>
      <rgbColor rgb="FF00FFFF"/>
      <rgbColor rgb="FF7F0000"/>
      <rgbColor rgb="FF008000"/>
      <rgbColor rgb="FF000080"/>
      <rgbColor rgb="FF808000"/>
      <rgbColor rgb="FF800080"/>
      <rgbColor rgb="FF008080"/>
      <rgbColor rgb="FFBBBBBB"/>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1"/>
  <sheetViews>
    <sheetView tabSelected="1" topLeftCell="D1" zoomScaleNormal="100" workbookViewId="0">
      <selection sqref="A1:E1"/>
    </sheetView>
  </sheetViews>
  <sheetFormatPr defaultColWidth="8.6640625" defaultRowHeight="14.4" x14ac:dyDescent="0.3"/>
  <cols>
    <col min="1" max="1" width="15" customWidth="1"/>
    <col min="2" max="2" width="25" customWidth="1"/>
    <col min="3" max="3" width="20" customWidth="1"/>
    <col min="4" max="4" width="34" customWidth="1"/>
    <col min="5" max="5" width="15" customWidth="1"/>
    <col min="6" max="6" width="22" customWidth="1"/>
    <col min="7" max="7" width="12" customWidth="1"/>
    <col min="8" max="8" width="30" customWidth="1"/>
    <col min="9" max="9" width="10" customWidth="1"/>
    <col min="10" max="10" width="14" customWidth="1"/>
    <col min="11" max="11" width="12" customWidth="1"/>
    <col min="15" max="15" width="16" customWidth="1"/>
    <col min="16" max="16" width="14.44140625" customWidth="1"/>
    <col min="17" max="17" width="13.77734375" customWidth="1"/>
    <col min="18" max="18" width="11.6640625" customWidth="1"/>
  </cols>
  <sheetData>
    <row r="1" spans="1:19" ht="21.75" customHeight="1" x14ac:dyDescent="0.3">
      <c r="A1" s="3" t="s">
        <v>0</v>
      </c>
      <c r="B1" s="3"/>
      <c r="C1" s="3"/>
      <c r="D1" s="3"/>
      <c r="E1" s="3"/>
      <c r="F1" s="3" t="s">
        <v>1</v>
      </c>
      <c r="G1" s="3"/>
      <c r="H1" s="3"/>
      <c r="I1" s="4" t="s">
        <v>2</v>
      </c>
      <c r="J1" s="3" t="s">
        <v>3</v>
      </c>
      <c r="K1" s="3"/>
      <c r="L1" s="3"/>
      <c r="M1" s="3"/>
      <c r="N1" s="3"/>
      <c r="O1" s="3"/>
      <c r="P1" s="3" t="s">
        <v>4</v>
      </c>
      <c r="Q1" s="3"/>
      <c r="R1" s="3"/>
    </row>
    <row r="2" spans="1:19" ht="43.5" customHeight="1" x14ac:dyDescent="0.3">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row>
    <row r="3" spans="1:19" ht="18" customHeight="1" x14ac:dyDescent="0.3">
      <c r="A3" s="2" t="s">
        <v>23</v>
      </c>
      <c r="B3" s="2"/>
      <c r="C3" s="2"/>
      <c r="D3" s="2"/>
      <c r="E3" s="2"/>
      <c r="F3" s="2"/>
      <c r="G3" s="2"/>
      <c r="H3" s="2"/>
      <c r="I3" s="2"/>
      <c r="J3" s="2"/>
      <c r="K3" s="2"/>
      <c r="L3" s="2"/>
      <c r="M3" s="2"/>
      <c r="N3" s="2"/>
      <c r="O3" s="2"/>
      <c r="P3" s="2"/>
      <c r="Q3" s="2"/>
      <c r="R3" s="2"/>
      <c r="S3" s="2"/>
    </row>
    <row r="4" spans="1:19" ht="15.75" customHeight="1" x14ac:dyDescent="0.3">
      <c r="A4" s="1" t="s">
        <v>24</v>
      </c>
      <c r="B4" s="1"/>
      <c r="C4" s="1"/>
      <c r="D4" s="1"/>
      <c r="E4" s="1"/>
      <c r="F4" s="1"/>
      <c r="G4" s="1"/>
      <c r="H4" s="1"/>
      <c r="I4" s="1"/>
      <c r="J4" s="1"/>
      <c r="K4" s="1"/>
      <c r="L4" s="1"/>
      <c r="M4" s="1"/>
      <c r="N4" s="1"/>
      <c r="O4" s="1"/>
      <c r="P4" s="1"/>
      <c r="Q4" s="1"/>
      <c r="R4" s="1"/>
      <c r="S4" s="1"/>
    </row>
    <row r="5" spans="1:19" ht="15" customHeight="1" x14ac:dyDescent="0.3">
      <c r="A5" s="6" t="s">
        <v>25</v>
      </c>
      <c r="B5" s="6" t="s">
        <v>26</v>
      </c>
      <c r="C5" s="6" t="s">
        <v>27</v>
      </c>
      <c r="D5" s="6" t="s">
        <v>28</v>
      </c>
      <c r="E5" s="6" t="s">
        <v>29</v>
      </c>
      <c r="F5" s="6" t="s">
        <v>30</v>
      </c>
      <c r="G5" s="6" t="s">
        <v>31</v>
      </c>
      <c r="H5" s="7" t="s">
        <v>32</v>
      </c>
      <c r="I5" s="6">
        <v>11</v>
      </c>
      <c r="J5" s="8">
        <v>0</v>
      </c>
      <c r="K5" s="8">
        <v>131.78</v>
      </c>
      <c r="L5" s="8">
        <v>20535.400000000001</v>
      </c>
      <c r="M5" s="8">
        <v>0</v>
      </c>
      <c r="N5" s="8">
        <v>27777.02</v>
      </c>
      <c r="O5" s="9">
        <v>48444.2</v>
      </c>
      <c r="P5" s="10">
        <v>1337.27</v>
      </c>
      <c r="Q5" s="10">
        <v>411.82</v>
      </c>
      <c r="R5" s="11">
        <v>1749.09</v>
      </c>
    </row>
    <row r="6" spans="1:19" ht="15" customHeight="1" x14ac:dyDescent="0.3">
      <c r="A6" s="12"/>
      <c r="B6" s="12"/>
      <c r="C6" s="12"/>
      <c r="D6" s="12"/>
      <c r="E6" s="12"/>
      <c r="F6" s="12" t="s">
        <v>33</v>
      </c>
      <c r="G6" s="12"/>
      <c r="H6" s="12"/>
      <c r="I6" s="12"/>
      <c r="J6" s="13">
        <f t="shared" ref="J6:R7" si="0">J5</f>
        <v>0</v>
      </c>
      <c r="K6" s="13">
        <f t="shared" si="0"/>
        <v>131.78</v>
      </c>
      <c r="L6" s="13">
        <f t="shared" si="0"/>
        <v>20535.400000000001</v>
      </c>
      <c r="M6" s="13">
        <f t="shared" si="0"/>
        <v>0</v>
      </c>
      <c r="N6" s="13">
        <f t="shared" si="0"/>
        <v>27777.02</v>
      </c>
      <c r="O6" s="13">
        <f t="shared" si="0"/>
        <v>48444.2</v>
      </c>
      <c r="P6" s="14">
        <f t="shared" si="0"/>
        <v>1337.27</v>
      </c>
      <c r="Q6" s="14">
        <f t="shared" si="0"/>
        <v>411.82</v>
      </c>
      <c r="R6" s="14">
        <f t="shared" si="0"/>
        <v>1749.09</v>
      </c>
    </row>
    <row r="7" spans="1:19" ht="15.75" customHeight="1" x14ac:dyDescent="0.3">
      <c r="A7" s="15"/>
      <c r="B7" s="15"/>
      <c r="C7" s="15"/>
      <c r="D7" s="15"/>
      <c r="E7" s="15" t="s">
        <v>34</v>
      </c>
      <c r="F7" s="15"/>
      <c r="G7" s="15"/>
      <c r="H7" s="15"/>
      <c r="I7" s="15"/>
      <c r="J7" s="16">
        <f t="shared" si="0"/>
        <v>0</v>
      </c>
      <c r="K7" s="16">
        <f t="shared" si="0"/>
        <v>131.78</v>
      </c>
      <c r="L7" s="16">
        <f t="shared" si="0"/>
        <v>20535.400000000001</v>
      </c>
      <c r="M7" s="16">
        <f t="shared" si="0"/>
        <v>0</v>
      </c>
      <c r="N7" s="16">
        <f t="shared" si="0"/>
        <v>27777.02</v>
      </c>
      <c r="O7" s="16">
        <f t="shared" si="0"/>
        <v>48444.2</v>
      </c>
      <c r="P7" s="17">
        <f t="shared" si="0"/>
        <v>1337.27</v>
      </c>
      <c r="Q7" s="17">
        <f t="shared" si="0"/>
        <v>411.82</v>
      </c>
      <c r="R7" s="17">
        <f t="shared" si="0"/>
        <v>1749.09</v>
      </c>
    </row>
    <row r="8" spans="1:19" ht="18" customHeight="1" x14ac:dyDescent="0.3">
      <c r="A8" s="2" t="s">
        <v>35</v>
      </c>
      <c r="B8" s="2"/>
      <c r="C8" s="2"/>
      <c r="D8" s="2"/>
      <c r="E8" s="2"/>
      <c r="F8" s="2"/>
      <c r="G8" s="2"/>
      <c r="H8" s="2"/>
      <c r="I8" s="2"/>
      <c r="J8" s="2"/>
      <c r="K8" s="2"/>
      <c r="L8" s="2"/>
      <c r="M8" s="2"/>
      <c r="N8" s="2"/>
      <c r="O8" s="2"/>
      <c r="P8" s="2"/>
      <c r="Q8" s="2"/>
      <c r="R8" s="2"/>
      <c r="S8" s="2"/>
    </row>
    <row r="9" spans="1:19" ht="15.75" customHeight="1" x14ac:dyDescent="0.3">
      <c r="A9" s="1" t="s">
        <v>36</v>
      </c>
      <c r="B9" s="1"/>
      <c r="C9" s="1"/>
      <c r="D9" s="1"/>
      <c r="E9" s="1"/>
      <c r="F9" s="1"/>
      <c r="G9" s="1"/>
      <c r="H9" s="1"/>
      <c r="I9" s="1"/>
      <c r="J9" s="1"/>
      <c r="K9" s="1"/>
      <c r="L9" s="1"/>
      <c r="M9" s="1"/>
      <c r="N9" s="1"/>
      <c r="O9" s="1"/>
      <c r="P9" s="1"/>
      <c r="Q9" s="1"/>
      <c r="R9" s="1"/>
      <c r="S9" s="1"/>
    </row>
    <row r="10" spans="1:19" ht="15" customHeight="1" x14ac:dyDescent="0.3">
      <c r="A10" s="6" t="s">
        <v>37</v>
      </c>
      <c r="B10" s="6" t="s">
        <v>38</v>
      </c>
      <c r="C10" s="6" t="s">
        <v>39</v>
      </c>
      <c r="D10" s="6" t="s">
        <v>40</v>
      </c>
      <c r="E10" s="6" t="s">
        <v>41</v>
      </c>
      <c r="F10" s="6" t="s">
        <v>42</v>
      </c>
      <c r="G10" s="6" t="s">
        <v>31</v>
      </c>
      <c r="H10" s="7" t="s">
        <v>43</v>
      </c>
      <c r="I10" s="6">
        <v>43</v>
      </c>
      <c r="J10" s="8">
        <v>0</v>
      </c>
      <c r="K10" s="8">
        <v>1131.4000000000001</v>
      </c>
      <c r="L10" s="8">
        <v>82051.95</v>
      </c>
      <c r="M10" s="8">
        <v>0</v>
      </c>
      <c r="N10" s="8">
        <v>242688.97</v>
      </c>
      <c r="O10" s="9">
        <v>325872.32</v>
      </c>
      <c r="P10" s="10">
        <v>8293.0499999999993</v>
      </c>
      <c r="Q10" s="10">
        <v>2770.21</v>
      </c>
      <c r="R10" s="11">
        <v>11063.26</v>
      </c>
    </row>
    <row r="11" spans="1:19" ht="15" customHeight="1" x14ac:dyDescent="0.3">
      <c r="A11" s="18" t="s">
        <v>37</v>
      </c>
      <c r="B11" s="18" t="s">
        <v>38</v>
      </c>
      <c r="C11" s="18" t="s">
        <v>39</v>
      </c>
      <c r="D11" s="18" t="s">
        <v>40</v>
      </c>
      <c r="E11" s="18" t="s">
        <v>41</v>
      </c>
      <c r="F11" s="18" t="s">
        <v>44</v>
      </c>
      <c r="G11" s="18" t="s">
        <v>31</v>
      </c>
      <c r="H11" s="19" t="s">
        <v>45</v>
      </c>
      <c r="I11" s="18">
        <v>43</v>
      </c>
      <c r="J11" s="20">
        <v>0</v>
      </c>
      <c r="K11" s="20">
        <v>0</v>
      </c>
      <c r="L11" s="20">
        <v>106.96</v>
      </c>
      <c r="M11" s="20">
        <v>0</v>
      </c>
      <c r="N11" s="20">
        <v>17157.12</v>
      </c>
      <c r="O11" s="9">
        <v>17264.080000000002</v>
      </c>
      <c r="P11" s="21">
        <v>371.06</v>
      </c>
      <c r="Q11" s="21">
        <v>146.76</v>
      </c>
      <c r="R11" s="11">
        <v>517.82000000000005</v>
      </c>
    </row>
    <row r="12" spans="1:19" ht="15" customHeight="1" x14ac:dyDescent="0.3">
      <c r="A12" s="12"/>
      <c r="B12" s="12"/>
      <c r="C12" s="12"/>
      <c r="D12" s="12"/>
      <c r="E12" s="12"/>
      <c r="F12" s="12" t="s">
        <v>33</v>
      </c>
      <c r="G12" s="12"/>
      <c r="H12" s="12"/>
      <c r="I12" s="12"/>
      <c r="J12" s="13">
        <f t="shared" ref="J12:R12" si="1">J10+J11</f>
        <v>0</v>
      </c>
      <c r="K12" s="13">
        <f t="shared" si="1"/>
        <v>1131.4000000000001</v>
      </c>
      <c r="L12" s="13">
        <f t="shared" si="1"/>
        <v>82158.91</v>
      </c>
      <c r="M12" s="13">
        <f t="shared" si="1"/>
        <v>0</v>
      </c>
      <c r="N12" s="13">
        <f t="shared" si="1"/>
        <v>259846.09</v>
      </c>
      <c r="O12" s="13">
        <f t="shared" si="1"/>
        <v>343136.4</v>
      </c>
      <c r="P12" s="14">
        <f t="shared" si="1"/>
        <v>8664.1099999999988</v>
      </c>
      <c r="Q12" s="14">
        <f t="shared" si="1"/>
        <v>2916.9700000000003</v>
      </c>
      <c r="R12" s="14">
        <f t="shared" si="1"/>
        <v>11581.08</v>
      </c>
    </row>
    <row r="13" spans="1:19" ht="15.75" customHeight="1" x14ac:dyDescent="0.3">
      <c r="A13" s="1" t="s">
        <v>46</v>
      </c>
      <c r="B13" s="1"/>
      <c r="C13" s="1"/>
      <c r="D13" s="1"/>
      <c r="E13" s="1"/>
      <c r="F13" s="1"/>
      <c r="G13" s="1"/>
      <c r="H13" s="1"/>
      <c r="I13" s="1"/>
      <c r="J13" s="1"/>
      <c r="K13" s="1"/>
      <c r="L13" s="1"/>
      <c r="M13" s="1"/>
      <c r="N13" s="1"/>
      <c r="O13" s="1"/>
      <c r="P13" s="1"/>
      <c r="Q13" s="1"/>
      <c r="R13" s="1"/>
      <c r="S13" s="1"/>
    </row>
    <row r="14" spans="1:19" ht="15" customHeight="1" x14ac:dyDescent="0.3">
      <c r="A14" s="6" t="s">
        <v>37</v>
      </c>
      <c r="B14" s="6" t="s">
        <v>38</v>
      </c>
      <c r="C14" s="6" t="s">
        <v>39</v>
      </c>
      <c r="D14" s="6" t="s">
        <v>47</v>
      </c>
      <c r="E14" s="6" t="s">
        <v>48</v>
      </c>
      <c r="F14" s="6" t="s">
        <v>49</v>
      </c>
      <c r="G14" s="6" t="s">
        <v>31</v>
      </c>
      <c r="H14" s="7" t="s">
        <v>50</v>
      </c>
      <c r="I14" s="6">
        <v>5</v>
      </c>
      <c r="J14" s="8">
        <v>7775.51</v>
      </c>
      <c r="K14" s="8">
        <v>147.76</v>
      </c>
      <c r="L14" s="8">
        <v>8467.7099999999991</v>
      </c>
      <c r="M14" s="8">
        <v>0</v>
      </c>
      <c r="N14" s="8">
        <v>13987.21</v>
      </c>
      <c r="O14" s="9">
        <v>30378.19</v>
      </c>
      <c r="P14" s="10">
        <v>756.81</v>
      </c>
      <c r="Q14" s="10">
        <v>258.24</v>
      </c>
      <c r="R14" s="11">
        <v>1015.05</v>
      </c>
    </row>
    <row r="15" spans="1:19" ht="15" customHeight="1" x14ac:dyDescent="0.3">
      <c r="A15" s="12"/>
      <c r="B15" s="12"/>
      <c r="C15" s="12"/>
      <c r="D15" s="12"/>
      <c r="E15" s="12"/>
      <c r="F15" s="12" t="s">
        <v>33</v>
      </c>
      <c r="G15" s="12"/>
      <c r="H15" s="12"/>
      <c r="I15" s="12"/>
      <c r="J15" s="13">
        <f t="shared" ref="J15:R15" si="2">J14</f>
        <v>7775.51</v>
      </c>
      <c r="K15" s="13">
        <f t="shared" si="2"/>
        <v>147.76</v>
      </c>
      <c r="L15" s="13">
        <f t="shared" si="2"/>
        <v>8467.7099999999991</v>
      </c>
      <c r="M15" s="13">
        <f t="shared" si="2"/>
        <v>0</v>
      </c>
      <c r="N15" s="13">
        <f t="shared" si="2"/>
        <v>13987.21</v>
      </c>
      <c r="O15" s="13">
        <f t="shared" si="2"/>
        <v>30378.19</v>
      </c>
      <c r="P15" s="14">
        <f t="shared" si="2"/>
        <v>756.81</v>
      </c>
      <c r="Q15" s="14">
        <f t="shared" si="2"/>
        <v>258.24</v>
      </c>
      <c r="R15" s="14">
        <f t="shared" si="2"/>
        <v>1015.05</v>
      </c>
    </row>
    <row r="16" spans="1:19" ht="15.75" customHeight="1" x14ac:dyDescent="0.3">
      <c r="A16" s="15"/>
      <c r="B16" s="15"/>
      <c r="C16" s="15"/>
      <c r="D16" s="15"/>
      <c r="E16" s="15" t="s">
        <v>51</v>
      </c>
      <c r="F16" s="15"/>
      <c r="G16" s="15"/>
      <c r="H16" s="15"/>
      <c r="I16" s="15"/>
      <c r="J16" s="15">
        <f t="shared" ref="J16:R16" si="3">J12+J15</f>
        <v>7775.51</v>
      </c>
      <c r="K16" s="15">
        <f t="shared" si="3"/>
        <v>1279.1600000000001</v>
      </c>
      <c r="L16" s="15">
        <f t="shared" si="3"/>
        <v>90626.62</v>
      </c>
      <c r="M16" s="15">
        <f t="shared" si="3"/>
        <v>0</v>
      </c>
      <c r="N16" s="15">
        <f t="shared" si="3"/>
        <v>273833.3</v>
      </c>
      <c r="O16" s="16">
        <f t="shared" si="3"/>
        <v>373514.59</v>
      </c>
      <c r="P16" s="17">
        <f t="shared" si="3"/>
        <v>9420.9199999999983</v>
      </c>
      <c r="Q16" s="17">
        <f t="shared" si="3"/>
        <v>3175.21</v>
      </c>
      <c r="R16" s="17">
        <f t="shared" si="3"/>
        <v>12596.13</v>
      </c>
    </row>
    <row r="17" spans="1:19" ht="18" customHeight="1" x14ac:dyDescent="0.3">
      <c r="A17" s="2" t="s">
        <v>52</v>
      </c>
      <c r="B17" s="2"/>
      <c r="C17" s="2"/>
      <c r="D17" s="2"/>
      <c r="E17" s="2"/>
      <c r="F17" s="2"/>
      <c r="G17" s="2"/>
      <c r="H17" s="2"/>
      <c r="I17" s="2"/>
      <c r="J17" s="2"/>
      <c r="K17" s="2"/>
      <c r="L17" s="2"/>
      <c r="M17" s="2"/>
      <c r="N17" s="2"/>
      <c r="O17" s="2"/>
      <c r="P17" s="2"/>
      <c r="Q17" s="2"/>
      <c r="R17" s="2"/>
      <c r="S17" s="2"/>
    </row>
    <row r="18" spans="1:19" ht="15.75" customHeight="1" x14ac:dyDescent="0.3">
      <c r="A18" s="1" t="s">
        <v>53</v>
      </c>
      <c r="B18" s="1"/>
      <c r="C18" s="1"/>
      <c r="D18" s="1"/>
      <c r="E18" s="1"/>
      <c r="F18" s="1"/>
      <c r="G18" s="1"/>
      <c r="H18" s="1"/>
      <c r="I18" s="1"/>
      <c r="J18" s="1"/>
      <c r="K18" s="1"/>
      <c r="L18" s="1"/>
      <c r="M18" s="1"/>
      <c r="N18" s="1"/>
      <c r="O18" s="1"/>
      <c r="P18" s="1"/>
      <c r="Q18" s="1"/>
      <c r="R18" s="1"/>
      <c r="S18" s="1"/>
    </row>
    <row r="19" spans="1:19" ht="15" customHeight="1" x14ac:dyDescent="0.3">
      <c r="A19" s="6" t="s">
        <v>54</v>
      </c>
      <c r="B19" s="6" t="s">
        <v>55</v>
      </c>
      <c r="C19" s="6" t="s">
        <v>56</v>
      </c>
      <c r="D19" s="6" t="s">
        <v>57</v>
      </c>
      <c r="E19" s="6" t="s">
        <v>58</v>
      </c>
      <c r="F19" s="6" t="s">
        <v>59</v>
      </c>
      <c r="G19" s="6" t="s">
        <v>31</v>
      </c>
      <c r="H19" s="7" t="s">
        <v>60</v>
      </c>
      <c r="I19" s="6">
        <v>22</v>
      </c>
      <c r="J19" s="8">
        <v>0</v>
      </c>
      <c r="K19" s="8">
        <v>1096.67</v>
      </c>
      <c r="L19" s="8">
        <v>27250.68</v>
      </c>
      <c r="M19" s="8">
        <v>0</v>
      </c>
      <c r="N19" s="8">
        <v>258259.67</v>
      </c>
      <c r="O19" s="9">
        <v>286607.02</v>
      </c>
      <c r="P19" s="10">
        <v>6712.9</v>
      </c>
      <c r="Q19" s="10">
        <v>2436.42</v>
      </c>
      <c r="R19" s="11">
        <v>9149.32</v>
      </c>
    </row>
    <row r="20" spans="1:19" ht="15" customHeight="1" x14ac:dyDescent="0.3">
      <c r="A20" s="12"/>
      <c r="B20" s="12"/>
      <c r="C20" s="12"/>
      <c r="D20" s="12"/>
      <c r="E20" s="12"/>
      <c r="F20" s="12" t="s">
        <v>33</v>
      </c>
      <c r="G20" s="12"/>
      <c r="H20" s="12"/>
      <c r="I20" s="12"/>
      <c r="J20" s="13">
        <f t="shared" ref="J20:R20" si="4">J19</f>
        <v>0</v>
      </c>
      <c r="K20" s="13">
        <f t="shared" si="4"/>
        <v>1096.67</v>
      </c>
      <c r="L20" s="13">
        <f t="shared" si="4"/>
        <v>27250.68</v>
      </c>
      <c r="M20" s="13">
        <f t="shared" si="4"/>
        <v>0</v>
      </c>
      <c r="N20" s="13">
        <f t="shared" si="4"/>
        <v>258259.67</v>
      </c>
      <c r="O20" s="13">
        <f t="shared" si="4"/>
        <v>286607.02</v>
      </c>
      <c r="P20" s="14">
        <f t="shared" si="4"/>
        <v>6712.9</v>
      </c>
      <c r="Q20" s="14">
        <f t="shared" si="4"/>
        <v>2436.42</v>
      </c>
      <c r="R20" s="14">
        <f t="shared" si="4"/>
        <v>9149.32</v>
      </c>
    </row>
    <row r="21" spans="1:19" ht="15.75" customHeight="1" x14ac:dyDescent="0.3">
      <c r="A21" s="1" t="s">
        <v>61</v>
      </c>
      <c r="B21" s="1"/>
      <c r="C21" s="1"/>
      <c r="D21" s="1"/>
      <c r="E21" s="1"/>
      <c r="F21" s="1"/>
      <c r="G21" s="1"/>
      <c r="H21" s="1"/>
      <c r="I21" s="1"/>
      <c r="J21" s="1"/>
      <c r="K21" s="1"/>
      <c r="L21" s="1"/>
      <c r="M21" s="1"/>
      <c r="N21" s="1"/>
      <c r="O21" s="1"/>
      <c r="P21" s="1"/>
      <c r="Q21" s="1"/>
      <c r="R21" s="1"/>
      <c r="S21" s="1"/>
    </row>
    <row r="22" spans="1:19" ht="15" customHeight="1" x14ac:dyDescent="0.3">
      <c r="A22" s="6" t="s">
        <v>54</v>
      </c>
      <c r="B22" s="6" t="s">
        <v>55</v>
      </c>
      <c r="C22" s="6" t="s">
        <v>56</v>
      </c>
      <c r="D22" s="6" t="s">
        <v>62</v>
      </c>
      <c r="E22" s="6" t="s">
        <v>63</v>
      </c>
      <c r="F22" s="6" t="s">
        <v>64</v>
      </c>
      <c r="G22" s="6" t="s">
        <v>31</v>
      </c>
      <c r="H22" s="7" t="s">
        <v>60</v>
      </c>
      <c r="I22" s="6">
        <v>2</v>
      </c>
      <c r="J22" s="8">
        <v>0</v>
      </c>
      <c r="K22" s="8">
        <v>4.33</v>
      </c>
      <c r="L22" s="8">
        <v>349.04</v>
      </c>
      <c r="M22" s="8">
        <v>0</v>
      </c>
      <c r="N22" s="8">
        <v>3596.16</v>
      </c>
      <c r="O22" s="9">
        <v>3949.53</v>
      </c>
      <c r="P22" s="10">
        <v>90.07</v>
      </c>
      <c r="Q22" s="10">
        <v>33.57</v>
      </c>
      <c r="R22" s="11">
        <v>123.64</v>
      </c>
    </row>
    <row r="23" spans="1:19" ht="15" customHeight="1" x14ac:dyDescent="0.3">
      <c r="A23" s="12"/>
      <c r="B23" s="12"/>
      <c r="C23" s="12"/>
      <c r="D23" s="12"/>
      <c r="E23" s="12"/>
      <c r="F23" s="12" t="s">
        <v>33</v>
      </c>
      <c r="G23" s="12"/>
      <c r="H23" s="12"/>
      <c r="I23" s="12"/>
      <c r="J23" s="13">
        <f t="shared" ref="J23:R23" si="5">J22</f>
        <v>0</v>
      </c>
      <c r="K23" s="13">
        <f t="shared" si="5"/>
        <v>4.33</v>
      </c>
      <c r="L23" s="13">
        <f t="shared" si="5"/>
        <v>349.04</v>
      </c>
      <c r="M23" s="13">
        <f t="shared" si="5"/>
        <v>0</v>
      </c>
      <c r="N23" s="13">
        <f t="shared" si="5"/>
        <v>3596.16</v>
      </c>
      <c r="O23" s="13">
        <f t="shared" si="5"/>
        <v>3949.53</v>
      </c>
      <c r="P23" s="14">
        <f t="shared" si="5"/>
        <v>90.07</v>
      </c>
      <c r="Q23" s="14">
        <f t="shared" si="5"/>
        <v>33.57</v>
      </c>
      <c r="R23" s="14">
        <f t="shared" si="5"/>
        <v>123.64</v>
      </c>
    </row>
    <row r="24" spans="1:19" ht="15.75" customHeight="1" x14ac:dyDescent="0.3">
      <c r="A24" s="1" t="s">
        <v>65</v>
      </c>
      <c r="B24" s="1"/>
      <c r="C24" s="1"/>
      <c r="D24" s="1"/>
      <c r="E24" s="1"/>
      <c r="F24" s="1"/>
      <c r="G24" s="1"/>
      <c r="H24" s="1"/>
      <c r="I24" s="1"/>
      <c r="J24" s="1"/>
      <c r="K24" s="1"/>
      <c r="L24" s="1"/>
      <c r="M24" s="1"/>
      <c r="N24" s="1"/>
      <c r="O24" s="1"/>
      <c r="P24" s="1"/>
      <c r="Q24" s="1"/>
      <c r="R24" s="1"/>
      <c r="S24" s="1"/>
    </row>
    <row r="25" spans="1:19" ht="15" customHeight="1" x14ac:dyDescent="0.3">
      <c r="A25" s="6" t="s">
        <v>54</v>
      </c>
      <c r="B25" s="6" t="s">
        <v>55</v>
      </c>
      <c r="C25" s="6" t="s">
        <v>56</v>
      </c>
      <c r="D25" s="6" t="s">
        <v>66</v>
      </c>
      <c r="E25" s="6" t="s">
        <v>67</v>
      </c>
      <c r="F25" s="6" t="s">
        <v>68</v>
      </c>
      <c r="G25" s="6" t="s">
        <v>31</v>
      </c>
      <c r="H25" s="7" t="s">
        <v>69</v>
      </c>
      <c r="I25" s="6">
        <v>19</v>
      </c>
      <c r="J25" s="8">
        <v>0</v>
      </c>
      <c r="K25" s="8">
        <v>0.86</v>
      </c>
      <c r="L25" s="8">
        <v>12115.9</v>
      </c>
      <c r="M25" s="8">
        <v>3195.69</v>
      </c>
      <c r="N25" s="8">
        <v>18747.669999999998</v>
      </c>
      <c r="O25" s="9">
        <v>34060.120000000003</v>
      </c>
      <c r="P25" s="10">
        <v>897.4</v>
      </c>
      <c r="Q25" s="10">
        <v>289.54000000000002</v>
      </c>
      <c r="R25" s="11">
        <v>1186.94</v>
      </c>
    </row>
    <row r="26" spans="1:19" ht="15" customHeight="1" x14ac:dyDescent="0.3">
      <c r="A26" s="12"/>
      <c r="B26" s="12"/>
      <c r="C26" s="12"/>
      <c r="D26" s="12"/>
      <c r="E26" s="12"/>
      <c r="F26" s="12" t="s">
        <v>33</v>
      </c>
      <c r="G26" s="12"/>
      <c r="H26" s="12"/>
      <c r="I26" s="12"/>
      <c r="J26" s="13">
        <f t="shared" ref="J26:R26" si="6">J25</f>
        <v>0</v>
      </c>
      <c r="K26" s="13">
        <f t="shared" si="6"/>
        <v>0.86</v>
      </c>
      <c r="L26" s="13">
        <f t="shared" si="6"/>
        <v>12115.9</v>
      </c>
      <c r="M26" s="13">
        <f t="shared" si="6"/>
        <v>3195.69</v>
      </c>
      <c r="N26" s="13">
        <f t="shared" si="6"/>
        <v>18747.669999999998</v>
      </c>
      <c r="O26" s="13">
        <f t="shared" si="6"/>
        <v>34060.120000000003</v>
      </c>
      <c r="P26" s="14">
        <f t="shared" si="6"/>
        <v>897.4</v>
      </c>
      <c r="Q26" s="14">
        <f t="shared" si="6"/>
        <v>289.54000000000002</v>
      </c>
      <c r="R26" s="14">
        <f t="shared" si="6"/>
        <v>1186.94</v>
      </c>
    </row>
    <row r="27" spans="1:19" ht="15.75" customHeight="1" x14ac:dyDescent="0.3">
      <c r="A27" s="1" t="s">
        <v>70</v>
      </c>
      <c r="B27" s="1"/>
      <c r="C27" s="1"/>
      <c r="D27" s="1"/>
      <c r="E27" s="1"/>
      <c r="F27" s="1"/>
      <c r="G27" s="1"/>
      <c r="H27" s="1"/>
      <c r="I27" s="1"/>
      <c r="J27" s="1"/>
      <c r="K27" s="1"/>
      <c r="L27" s="1"/>
      <c r="M27" s="1"/>
      <c r="N27" s="1"/>
      <c r="O27" s="1"/>
      <c r="P27" s="1"/>
      <c r="Q27" s="1"/>
      <c r="R27" s="1"/>
      <c r="S27" s="1"/>
    </row>
    <row r="28" spans="1:19" ht="15" customHeight="1" x14ac:dyDescent="0.3">
      <c r="A28" s="6" t="s">
        <v>54</v>
      </c>
      <c r="B28" s="6" t="s">
        <v>55</v>
      </c>
      <c r="C28" s="6" t="s">
        <v>56</v>
      </c>
      <c r="D28" s="6" t="s">
        <v>71</v>
      </c>
      <c r="E28" s="6" t="s">
        <v>72</v>
      </c>
      <c r="F28" s="6" t="s">
        <v>73</v>
      </c>
      <c r="G28" s="6" t="s">
        <v>74</v>
      </c>
      <c r="H28" s="7" t="s">
        <v>75</v>
      </c>
      <c r="I28" s="6">
        <v>1</v>
      </c>
      <c r="J28" s="8">
        <v>0</v>
      </c>
      <c r="K28" s="8">
        <v>1.06</v>
      </c>
      <c r="L28" s="8">
        <v>32.69</v>
      </c>
      <c r="M28" s="8">
        <v>0</v>
      </c>
      <c r="N28" s="8">
        <v>0.1</v>
      </c>
      <c r="O28" s="9">
        <v>33.85</v>
      </c>
      <c r="P28" s="10">
        <v>1.37</v>
      </c>
      <c r="Q28" s="10">
        <v>0.28999999999999998</v>
      </c>
      <c r="R28" s="11">
        <v>1.66</v>
      </c>
    </row>
    <row r="29" spans="1:19" ht="15" customHeight="1" x14ac:dyDescent="0.3">
      <c r="A29" s="12"/>
      <c r="B29" s="12"/>
      <c r="C29" s="12"/>
      <c r="D29" s="12"/>
      <c r="E29" s="12"/>
      <c r="F29" s="12" t="s">
        <v>33</v>
      </c>
      <c r="G29" s="12"/>
      <c r="H29" s="12"/>
      <c r="I29" s="12"/>
      <c r="J29" s="13">
        <f t="shared" ref="J29:R29" si="7">J28</f>
        <v>0</v>
      </c>
      <c r="K29" s="13">
        <f t="shared" si="7"/>
        <v>1.06</v>
      </c>
      <c r="L29" s="13">
        <f t="shared" si="7"/>
        <v>32.69</v>
      </c>
      <c r="M29" s="13">
        <f t="shared" si="7"/>
        <v>0</v>
      </c>
      <c r="N29" s="13">
        <f t="shared" si="7"/>
        <v>0.1</v>
      </c>
      <c r="O29" s="13">
        <f t="shared" si="7"/>
        <v>33.85</v>
      </c>
      <c r="P29" s="14">
        <f t="shared" si="7"/>
        <v>1.37</v>
      </c>
      <c r="Q29" s="14">
        <f t="shared" si="7"/>
        <v>0.28999999999999998</v>
      </c>
      <c r="R29" s="14">
        <f t="shared" si="7"/>
        <v>1.66</v>
      </c>
    </row>
    <row r="30" spans="1:19" ht="15.75" customHeight="1" x14ac:dyDescent="0.3">
      <c r="A30" s="15"/>
      <c r="B30" s="15"/>
      <c r="C30" s="15"/>
      <c r="D30" s="15"/>
      <c r="E30" s="15" t="s">
        <v>76</v>
      </c>
      <c r="F30" s="15"/>
      <c r="G30" s="15"/>
      <c r="H30" s="15"/>
      <c r="I30" s="15"/>
      <c r="J30" s="15">
        <f t="shared" ref="J30:R30" si="8">J20+J23+J26+J29</f>
        <v>0</v>
      </c>
      <c r="K30" s="15">
        <f t="shared" si="8"/>
        <v>1102.9199999999998</v>
      </c>
      <c r="L30" s="15">
        <f t="shared" si="8"/>
        <v>39748.310000000005</v>
      </c>
      <c r="M30" s="15">
        <f t="shared" si="8"/>
        <v>3195.69</v>
      </c>
      <c r="N30" s="15">
        <f t="shared" si="8"/>
        <v>280603.59999999998</v>
      </c>
      <c r="O30" s="16">
        <f t="shared" si="8"/>
        <v>324650.52</v>
      </c>
      <c r="P30" s="17">
        <f t="shared" si="8"/>
        <v>7701.7399999999989</v>
      </c>
      <c r="Q30" s="17">
        <f t="shared" si="8"/>
        <v>2759.82</v>
      </c>
      <c r="R30" s="17">
        <f t="shared" si="8"/>
        <v>10461.56</v>
      </c>
    </row>
    <row r="31" spans="1:19" ht="19.5" customHeight="1" x14ac:dyDescent="0.3">
      <c r="A31" s="22"/>
      <c r="B31" s="22"/>
      <c r="C31" s="22"/>
      <c r="D31" s="22"/>
      <c r="E31" s="22" t="s">
        <v>77</v>
      </c>
      <c r="F31" s="22"/>
      <c r="G31" s="22"/>
      <c r="H31" s="22"/>
      <c r="I31" s="22"/>
      <c r="J31" s="22"/>
      <c r="K31" s="22"/>
      <c r="L31" s="22"/>
      <c r="M31" s="22"/>
      <c r="N31" s="22"/>
      <c r="O31" s="23">
        <f>O7+O16+O30</f>
        <v>746609.31</v>
      </c>
      <c r="P31" s="24">
        <f>P7+P16+P30</f>
        <v>18459.929999999997</v>
      </c>
      <c r="Q31" s="24">
        <f>Q7+Q16+Q30</f>
        <v>6346.85</v>
      </c>
      <c r="R31" s="24">
        <f>R7+R16+R30</f>
        <v>24806.78</v>
      </c>
    </row>
  </sheetData>
  <mergeCells count="14">
    <mergeCell ref="A18:S18"/>
    <mergeCell ref="A21:S21"/>
    <mergeCell ref="A24:S24"/>
    <mergeCell ref="A27:S27"/>
    <mergeCell ref="A4:S4"/>
    <mergeCell ref="A8:S8"/>
    <mergeCell ref="A9:S9"/>
    <mergeCell ref="A13:S13"/>
    <mergeCell ref="A17:S17"/>
    <mergeCell ref="A1:E1"/>
    <mergeCell ref="F1:H1"/>
    <mergeCell ref="J1:O1"/>
    <mergeCell ref="P1:R1"/>
    <mergeCell ref="A3:S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8"/>
  <sheetViews>
    <sheetView zoomScaleNormal="100" workbookViewId="0"/>
  </sheetViews>
  <sheetFormatPr defaultColWidth="8.6640625" defaultRowHeight="14.4" x14ac:dyDescent="0.3"/>
  <cols>
    <col min="1" max="1" width="20" customWidth="1"/>
    <col min="2" max="2" width="34" customWidth="1"/>
    <col min="3" max="3" width="22" customWidth="1"/>
    <col min="4" max="4" width="56" customWidth="1"/>
  </cols>
  <sheetData>
    <row r="1" spans="1:4" x14ac:dyDescent="0.3">
      <c r="A1" s="25" t="s">
        <v>5</v>
      </c>
      <c r="B1" s="25" t="s">
        <v>8</v>
      </c>
      <c r="C1" s="25" t="s">
        <v>78</v>
      </c>
      <c r="D1" s="25" t="s">
        <v>79</v>
      </c>
    </row>
    <row r="2" spans="1:4" x14ac:dyDescent="0.3">
      <c r="A2" s="26" t="s">
        <v>80</v>
      </c>
      <c r="B2" s="27"/>
      <c r="C2" s="27"/>
      <c r="D2" s="28"/>
    </row>
    <row r="3" spans="1:4" x14ac:dyDescent="0.3">
      <c r="A3" s="6" t="s">
        <v>81</v>
      </c>
      <c r="B3" s="6" t="s">
        <v>82</v>
      </c>
      <c r="C3" s="6" t="s">
        <v>83</v>
      </c>
      <c r="D3" s="6" t="s">
        <v>84</v>
      </c>
    </row>
    <row r="4" spans="1:4" x14ac:dyDescent="0.3">
      <c r="A4" s="18" t="s">
        <v>81</v>
      </c>
      <c r="B4" s="18" t="s">
        <v>82</v>
      </c>
      <c r="C4" s="18" t="s">
        <v>83</v>
      </c>
      <c r="D4" s="18" t="s">
        <v>85</v>
      </c>
    </row>
    <row r="5" spans="1:4" x14ac:dyDescent="0.3">
      <c r="A5" s="6" t="s">
        <v>81</v>
      </c>
      <c r="B5" s="6" t="s">
        <v>82</v>
      </c>
      <c r="C5" s="6" t="s">
        <v>83</v>
      </c>
      <c r="D5" s="6" t="s">
        <v>86</v>
      </c>
    </row>
    <row r="6" spans="1:4" x14ac:dyDescent="0.3">
      <c r="A6" s="18" t="s">
        <v>81</v>
      </c>
      <c r="B6" s="18" t="s">
        <v>82</v>
      </c>
      <c r="C6" s="18" t="s">
        <v>87</v>
      </c>
      <c r="D6" s="18" t="s">
        <v>88</v>
      </c>
    </row>
    <row r="7" spans="1:4" x14ac:dyDescent="0.3">
      <c r="A7" s="6" t="s">
        <v>81</v>
      </c>
      <c r="B7" s="6" t="s">
        <v>89</v>
      </c>
      <c r="C7" s="6" t="s">
        <v>90</v>
      </c>
      <c r="D7" s="6" t="s">
        <v>91</v>
      </c>
    </row>
    <row r="8" spans="1:4" x14ac:dyDescent="0.3">
      <c r="A8" s="18" t="s">
        <v>81</v>
      </c>
      <c r="B8" s="18" t="s">
        <v>92</v>
      </c>
      <c r="C8" s="18" t="s">
        <v>93</v>
      </c>
      <c r="D8" s="18" t="s">
        <v>94</v>
      </c>
    </row>
    <row r="9" spans="1:4" x14ac:dyDescent="0.3">
      <c r="A9" s="6" t="s">
        <v>81</v>
      </c>
      <c r="B9" s="6" t="s">
        <v>92</v>
      </c>
      <c r="C9" s="6" t="s">
        <v>93</v>
      </c>
      <c r="D9" s="6" t="s">
        <v>95</v>
      </c>
    </row>
    <row r="10" spans="1:4" x14ac:dyDescent="0.3">
      <c r="A10" s="18" t="s">
        <v>81</v>
      </c>
      <c r="B10" s="18" t="s">
        <v>92</v>
      </c>
      <c r="C10" s="18" t="s">
        <v>93</v>
      </c>
      <c r="D10" s="18" t="s">
        <v>96</v>
      </c>
    </row>
    <row r="11" spans="1:4" x14ac:dyDescent="0.3">
      <c r="A11" s="6" t="s">
        <v>81</v>
      </c>
      <c r="B11" s="6" t="s">
        <v>97</v>
      </c>
      <c r="C11" s="6" t="s">
        <v>98</v>
      </c>
      <c r="D11" s="6" t="s">
        <v>99</v>
      </c>
    </row>
    <row r="12" spans="1:4" x14ac:dyDescent="0.3">
      <c r="A12" s="18" t="s">
        <v>81</v>
      </c>
      <c r="B12" s="18" t="s">
        <v>97</v>
      </c>
      <c r="C12" s="18" t="s">
        <v>100</v>
      </c>
      <c r="D12" s="18" t="s">
        <v>101</v>
      </c>
    </row>
    <row r="13" spans="1:4" x14ac:dyDescent="0.3">
      <c r="A13" s="6" t="s">
        <v>81</v>
      </c>
      <c r="B13" s="6" t="s">
        <v>97</v>
      </c>
      <c r="C13" s="6" t="s">
        <v>102</v>
      </c>
      <c r="D13" s="6" t="s">
        <v>103</v>
      </c>
    </row>
    <row r="14" spans="1:4" x14ac:dyDescent="0.3">
      <c r="A14" s="18" t="s">
        <v>81</v>
      </c>
      <c r="B14" s="18" t="s">
        <v>97</v>
      </c>
      <c r="C14" s="18" t="s">
        <v>104</v>
      </c>
      <c r="D14" s="18" t="s">
        <v>105</v>
      </c>
    </row>
    <row r="15" spans="1:4" x14ac:dyDescent="0.3">
      <c r="A15" s="6" t="s">
        <v>81</v>
      </c>
      <c r="B15" s="6" t="s">
        <v>97</v>
      </c>
      <c r="C15" s="6" t="s">
        <v>106</v>
      </c>
      <c r="D15" s="6" t="s">
        <v>107</v>
      </c>
    </row>
    <row r="16" spans="1:4" x14ac:dyDescent="0.3">
      <c r="A16" s="18" t="s">
        <v>81</v>
      </c>
      <c r="B16" s="18" t="s">
        <v>97</v>
      </c>
      <c r="C16" s="18" t="s">
        <v>108</v>
      </c>
      <c r="D16" s="18" t="s">
        <v>109</v>
      </c>
    </row>
    <row r="17" spans="1:4" x14ac:dyDescent="0.3">
      <c r="A17" s="6" t="s">
        <v>81</v>
      </c>
      <c r="B17" s="6" t="s">
        <v>97</v>
      </c>
      <c r="C17" s="6" t="s">
        <v>110</v>
      </c>
      <c r="D17" s="6" t="s">
        <v>111</v>
      </c>
    </row>
    <row r="18" spans="1:4" x14ac:dyDescent="0.3">
      <c r="A18" s="18" t="s">
        <v>81</v>
      </c>
      <c r="B18" s="18" t="s">
        <v>97</v>
      </c>
      <c r="C18" s="18" t="s">
        <v>112</v>
      </c>
      <c r="D18" s="18" t="s">
        <v>113</v>
      </c>
    </row>
    <row r="19" spans="1:4" x14ac:dyDescent="0.3">
      <c r="A19" s="6" t="s">
        <v>81</v>
      </c>
      <c r="B19" s="6" t="s">
        <v>97</v>
      </c>
      <c r="C19" s="6" t="s">
        <v>114</v>
      </c>
      <c r="D19" s="6" t="s">
        <v>115</v>
      </c>
    </row>
    <row r="20" spans="1:4" x14ac:dyDescent="0.3">
      <c r="A20" s="18" t="s">
        <v>81</v>
      </c>
      <c r="B20" s="18" t="s">
        <v>97</v>
      </c>
      <c r="C20" s="18" t="s">
        <v>114</v>
      </c>
      <c r="D20" s="18" t="s">
        <v>116</v>
      </c>
    </row>
    <row r="21" spans="1:4" x14ac:dyDescent="0.3">
      <c r="A21" s="26" t="s">
        <v>117</v>
      </c>
      <c r="B21" s="27"/>
      <c r="C21" s="27"/>
      <c r="D21" s="28"/>
    </row>
    <row r="22" spans="1:4" x14ac:dyDescent="0.3">
      <c r="A22" s="6" t="s">
        <v>25</v>
      </c>
      <c r="B22" s="6" t="s">
        <v>28</v>
      </c>
      <c r="C22" s="6" t="s">
        <v>118</v>
      </c>
      <c r="D22" s="6" t="s">
        <v>119</v>
      </c>
    </row>
    <row r="23" spans="1:4" x14ac:dyDescent="0.3">
      <c r="A23" s="18" t="s">
        <v>25</v>
      </c>
      <c r="B23" s="18" t="s">
        <v>28</v>
      </c>
      <c r="C23" s="18" t="s">
        <v>118</v>
      </c>
      <c r="D23" s="18" t="s">
        <v>120</v>
      </c>
    </row>
    <row r="24" spans="1:4" x14ac:dyDescent="0.3">
      <c r="A24" s="6" t="s">
        <v>25</v>
      </c>
      <c r="B24" s="6" t="s">
        <v>28</v>
      </c>
      <c r="C24" s="6" t="s">
        <v>118</v>
      </c>
      <c r="D24" s="6" t="s">
        <v>121</v>
      </c>
    </row>
    <row r="25" spans="1:4" x14ac:dyDescent="0.3">
      <c r="A25" s="18" t="s">
        <v>25</v>
      </c>
      <c r="B25" s="18" t="s">
        <v>28</v>
      </c>
      <c r="C25" s="18" t="s">
        <v>122</v>
      </c>
      <c r="D25" s="18" t="s">
        <v>123</v>
      </c>
    </row>
    <row r="26" spans="1:4" x14ac:dyDescent="0.3">
      <c r="A26" s="6" t="s">
        <v>25</v>
      </c>
      <c r="B26" s="6" t="s">
        <v>28</v>
      </c>
      <c r="C26" s="6" t="s">
        <v>122</v>
      </c>
      <c r="D26" s="6" t="s">
        <v>124</v>
      </c>
    </row>
    <row r="27" spans="1:4" x14ac:dyDescent="0.3">
      <c r="A27" s="18" t="s">
        <v>25</v>
      </c>
      <c r="B27" s="18" t="s">
        <v>28</v>
      </c>
      <c r="C27" s="18" t="s">
        <v>125</v>
      </c>
      <c r="D27" s="18" t="s">
        <v>126</v>
      </c>
    </row>
    <row r="28" spans="1:4" x14ac:dyDescent="0.3">
      <c r="A28" s="6" t="s">
        <v>25</v>
      </c>
      <c r="B28" s="6" t="s">
        <v>28</v>
      </c>
      <c r="C28" s="6" t="s">
        <v>125</v>
      </c>
      <c r="D28" s="6" t="s">
        <v>127</v>
      </c>
    </row>
    <row r="29" spans="1:4" x14ac:dyDescent="0.3">
      <c r="A29" s="18" t="s">
        <v>25</v>
      </c>
      <c r="B29" s="18" t="s">
        <v>28</v>
      </c>
      <c r="C29" s="18" t="s">
        <v>125</v>
      </c>
      <c r="D29" s="18" t="s">
        <v>128</v>
      </c>
    </row>
    <row r="30" spans="1:4" x14ac:dyDescent="0.3">
      <c r="A30" s="6" t="s">
        <v>25</v>
      </c>
      <c r="B30" s="6" t="s">
        <v>28</v>
      </c>
      <c r="C30" s="6" t="s">
        <v>125</v>
      </c>
      <c r="D30" s="6" t="s">
        <v>129</v>
      </c>
    </row>
    <row r="31" spans="1:4" x14ac:dyDescent="0.3">
      <c r="A31" s="18" t="s">
        <v>25</v>
      </c>
      <c r="B31" s="18" t="s">
        <v>28</v>
      </c>
      <c r="C31" s="18" t="s">
        <v>125</v>
      </c>
      <c r="D31" s="18" t="s">
        <v>130</v>
      </c>
    </row>
    <row r="32" spans="1:4" x14ac:dyDescent="0.3">
      <c r="A32" s="6" t="s">
        <v>25</v>
      </c>
      <c r="B32" s="6" t="s">
        <v>28</v>
      </c>
      <c r="C32" s="6" t="s">
        <v>125</v>
      </c>
      <c r="D32" s="6" t="s">
        <v>131</v>
      </c>
    </row>
    <row r="33" spans="1:4" x14ac:dyDescent="0.3">
      <c r="A33" s="26" t="s">
        <v>132</v>
      </c>
      <c r="B33" s="27"/>
      <c r="C33" s="27"/>
      <c r="D33" s="28"/>
    </row>
    <row r="34" spans="1:4" x14ac:dyDescent="0.3">
      <c r="A34" s="6" t="s">
        <v>37</v>
      </c>
      <c r="B34" s="6" t="s">
        <v>40</v>
      </c>
      <c r="C34" s="6" t="s">
        <v>133</v>
      </c>
      <c r="D34" s="6" t="s">
        <v>134</v>
      </c>
    </row>
    <row r="35" spans="1:4" x14ac:dyDescent="0.3">
      <c r="A35" s="18" t="s">
        <v>37</v>
      </c>
      <c r="B35" s="18" t="s">
        <v>40</v>
      </c>
      <c r="C35" s="18" t="s">
        <v>133</v>
      </c>
      <c r="D35" s="18" t="s">
        <v>135</v>
      </c>
    </row>
    <row r="36" spans="1:4" x14ac:dyDescent="0.3">
      <c r="A36" s="6" t="s">
        <v>37</v>
      </c>
      <c r="B36" s="6" t="s">
        <v>40</v>
      </c>
      <c r="C36" s="6" t="s">
        <v>133</v>
      </c>
      <c r="D36" s="6" t="s">
        <v>136</v>
      </c>
    </row>
    <row r="37" spans="1:4" x14ac:dyDescent="0.3">
      <c r="A37" s="18" t="s">
        <v>37</v>
      </c>
      <c r="B37" s="18" t="s">
        <v>40</v>
      </c>
      <c r="C37" s="18" t="s">
        <v>133</v>
      </c>
      <c r="D37" s="18" t="s">
        <v>137</v>
      </c>
    </row>
    <row r="38" spans="1:4" x14ac:dyDescent="0.3">
      <c r="A38" s="6" t="s">
        <v>37</v>
      </c>
      <c r="B38" s="6" t="s">
        <v>40</v>
      </c>
      <c r="C38" s="6" t="s">
        <v>133</v>
      </c>
      <c r="D38" s="6" t="s">
        <v>138</v>
      </c>
    </row>
    <row r="39" spans="1:4" x14ac:dyDescent="0.3">
      <c r="A39" s="18" t="s">
        <v>37</v>
      </c>
      <c r="B39" s="18" t="s">
        <v>40</v>
      </c>
      <c r="C39" s="18" t="s">
        <v>133</v>
      </c>
      <c r="D39" s="18" t="s">
        <v>139</v>
      </c>
    </row>
    <row r="40" spans="1:4" x14ac:dyDescent="0.3">
      <c r="A40" s="6" t="s">
        <v>37</v>
      </c>
      <c r="B40" s="6" t="s">
        <v>40</v>
      </c>
      <c r="C40" s="6" t="s">
        <v>133</v>
      </c>
      <c r="D40" s="6" t="s">
        <v>140</v>
      </c>
    </row>
    <row r="41" spans="1:4" x14ac:dyDescent="0.3">
      <c r="A41" s="18" t="s">
        <v>37</v>
      </c>
      <c r="B41" s="18" t="s">
        <v>40</v>
      </c>
      <c r="C41" s="18" t="s">
        <v>133</v>
      </c>
      <c r="D41" s="18" t="s">
        <v>141</v>
      </c>
    </row>
    <row r="42" spans="1:4" x14ac:dyDescent="0.3">
      <c r="A42" s="6" t="s">
        <v>37</v>
      </c>
      <c r="B42" s="6" t="s">
        <v>40</v>
      </c>
      <c r="C42" s="6" t="s">
        <v>133</v>
      </c>
      <c r="D42" s="6" t="s">
        <v>142</v>
      </c>
    </row>
    <row r="43" spans="1:4" x14ac:dyDescent="0.3">
      <c r="A43" s="18" t="s">
        <v>37</v>
      </c>
      <c r="B43" s="18" t="s">
        <v>40</v>
      </c>
      <c r="C43" s="18" t="s">
        <v>133</v>
      </c>
      <c r="D43" s="18" t="s">
        <v>143</v>
      </c>
    </row>
    <row r="44" spans="1:4" x14ac:dyDescent="0.3">
      <c r="A44" s="6" t="s">
        <v>37</v>
      </c>
      <c r="B44" s="6" t="s">
        <v>40</v>
      </c>
      <c r="C44" s="6" t="s">
        <v>133</v>
      </c>
      <c r="D44" s="6" t="s">
        <v>144</v>
      </c>
    </row>
    <row r="45" spans="1:4" x14ac:dyDescent="0.3">
      <c r="A45" s="18" t="s">
        <v>37</v>
      </c>
      <c r="B45" s="18" t="s">
        <v>40</v>
      </c>
      <c r="C45" s="18" t="s">
        <v>133</v>
      </c>
      <c r="D45" s="18" t="s">
        <v>145</v>
      </c>
    </row>
    <row r="46" spans="1:4" x14ac:dyDescent="0.3">
      <c r="A46" s="6" t="s">
        <v>37</v>
      </c>
      <c r="B46" s="6" t="s">
        <v>40</v>
      </c>
      <c r="C46" s="6" t="s">
        <v>133</v>
      </c>
      <c r="D46" s="6" t="s">
        <v>146</v>
      </c>
    </row>
    <row r="47" spans="1:4" x14ac:dyDescent="0.3">
      <c r="A47" s="18" t="s">
        <v>37</v>
      </c>
      <c r="B47" s="18" t="s">
        <v>40</v>
      </c>
      <c r="C47" s="18" t="s">
        <v>133</v>
      </c>
      <c r="D47" s="18" t="s">
        <v>147</v>
      </c>
    </row>
    <row r="48" spans="1:4" x14ac:dyDescent="0.3">
      <c r="A48" s="6" t="s">
        <v>37</v>
      </c>
      <c r="B48" s="6" t="s">
        <v>40</v>
      </c>
      <c r="C48" s="6" t="s">
        <v>133</v>
      </c>
      <c r="D48" s="6" t="s">
        <v>148</v>
      </c>
    </row>
    <row r="49" spans="1:4" x14ac:dyDescent="0.3">
      <c r="A49" s="18" t="s">
        <v>37</v>
      </c>
      <c r="B49" s="18" t="s">
        <v>40</v>
      </c>
      <c r="C49" s="18" t="s">
        <v>133</v>
      </c>
      <c r="D49" s="18" t="s">
        <v>149</v>
      </c>
    </row>
    <row r="50" spans="1:4" x14ac:dyDescent="0.3">
      <c r="A50" s="6" t="s">
        <v>37</v>
      </c>
      <c r="B50" s="6" t="s">
        <v>40</v>
      </c>
      <c r="C50" s="6" t="s">
        <v>133</v>
      </c>
      <c r="D50" s="6" t="s">
        <v>150</v>
      </c>
    </row>
    <row r="51" spans="1:4" x14ac:dyDescent="0.3">
      <c r="A51" s="18" t="s">
        <v>37</v>
      </c>
      <c r="B51" s="18" t="s">
        <v>40</v>
      </c>
      <c r="C51" s="18" t="s">
        <v>151</v>
      </c>
      <c r="D51" s="18" t="s">
        <v>152</v>
      </c>
    </row>
    <row r="52" spans="1:4" x14ac:dyDescent="0.3">
      <c r="A52" s="6" t="s">
        <v>37</v>
      </c>
      <c r="B52" s="6" t="s">
        <v>40</v>
      </c>
      <c r="C52" s="6" t="s">
        <v>151</v>
      </c>
      <c r="D52" s="6" t="s">
        <v>153</v>
      </c>
    </row>
    <row r="53" spans="1:4" x14ac:dyDescent="0.3">
      <c r="A53" s="18" t="s">
        <v>37</v>
      </c>
      <c r="B53" s="18" t="s">
        <v>40</v>
      </c>
      <c r="C53" s="18" t="s">
        <v>154</v>
      </c>
      <c r="D53" s="18" t="s">
        <v>155</v>
      </c>
    </row>
    <row r="54" spans="1:4" x14ac:dyDescent="0.3">
      <c r="A54" s="6" t="s">
        <v>37</v>
      </c>
      <c r="B54" s="6" t="s">
        <v>40</v>
      </c>
      <c r="C54" s="6" t="s">
        <v>154</v>
      </c>
      <c r="D54" s="6" t="s">
        <v>156</v>
      </c>
    </row>
    <row r="55" spans="1:4" x14ac:dyDescent="0.3">
      <c r="A55" s="18" t="s">
        <v>37</v>
      </c>
      <c r="B55" s="18" t="s">
        <v>40</v>
      </c>
      <c r="C55" s="18" t="s">
        <v>154</v>
      </c>
      <c r="D55" s="18" t="s">
        <v>157</v>
      </c>
    </row>
    <row r="56" spans="1:4" x14ac:dyDescent="0.3">
      <c r="A56" s="6" t="s">
        <v>37</v>
      </c>
      <c r="B56" s="6" t="s">
        <v>40</v>
      </c>
      <c r="C56" s="6" t="s">
        <v>158</v>
      </c>
      <c r="D56" s="6" t="s">
        <v>159</v>
      </c>
    </row>
    <row r="57" spans="1:4" x14ac:dyDescent="0.3">
      <c r="A57" s="18" t="s">
        <v>37</v>
      </c>
      <c r="B57" s="18" t="s">
        <v>40</v>
      </c>
      <c r="C57" s="18" t="s">
        <v>158</v>
      </c>
      <c r="D57" s="18" t="s">
        <v>160</v>
      </c>
    </row>
    <row r="58" spans="1:4" x14ac:dyDescent="0.3">
      <c r="A58" s="6" t="s">
        <v>37</v>
      </c>
      <c r="B58" s="6" t="s">
        <v>40</v>
      </c>
      <c r="C58" s="6" t="s">
        <v>158</v>
      </c>
      <c r="D58" s="6" t="s">
        <v>161</v>
      </c>
    </row>
    <row r="59" spans="1:4" x14ac:dyDescent="0.3">
      <c r="A59" s="18" t="s">
        <v>37</v>
      </c>
      <c r="B59" s="18" t="s">
        <v>40</v>
      </c>
      <c r="C59" s="18" t="s">
        <v>158</v>
      </c>
      <c r="D59" s="18" t="s">
        <v>162</v>
      </c>
    </row>
    <row r="60" spans="1:4" x14ac:dyDescent="0.3">
      <c r="A60" s="6" t="s">
        <v>37</v>
      </c>
      <c r="B60" s="6" t="s">
        <v>40</v>
      </c>
      <c r="C60" s="6" t="s">
        <v>158</v>
      </c>
      <c r="D60" s="6" t="s">
        <v>163</v>
      </c>
    </row>
    <row r="61" spans="1:4" x14ac:dyDescent="0.3">
      <c r="A61" s="18" t="s">
        <v>37</v>
      </c>
      <c r="B61" s="18" t="s">
        <v>40</v>
      </c>
      <c r="C61" s="18" t="s">
        <v>158</v>
      </c>
      <c r="D61" s="18" t="s">
        <v>164</v>
      </c>
    </row>
    <row r="62" spans="1:4" x14ac:dyDescent="0.3">
      <c r="A62" s="6" t="s">
        <v>37</v>
      </c>
      <c r="B62" s="6" t="s">
        <v>40</v>
      </c>
      <c r="C62" s="6" t="s">
        <v>158</v>
      </c>
      <c r="D62" s="6" t="s">
        <v>165</v>
      </c>
    </row>
    <row r="63" spans="1:4" x14ac:dyDescent="0.3">
      <c r="A63" s="18" t="s">
        <v>37</v>
      </c>
      <c r="B63" s="18" t="s">
        <v>40</v>
      </c>
      <c r="C63" s="18" t="s">
        <v>166</v>
      </c>
      <c r="D63" s="18" t="s">
        <v>167</v>
      </c>
    </row>
    <row r="64" spans="1:4" x14ac:dyDescent="0.3">
      <c r="A64" s="6" t="s">
        <v>37</v>
      </c>
      <c r="B64" s="6" t="s">
        <v>40</v>
      </c>
      <c r="C64" s="6" t="s">
        <v>166</v>
      </c>
      <c r="D64" s="6" t="s">
        <v>168</v>
      </c>
    </row>
    <row r="65" spans="1:4" x14ac:dyDescent="0.3">
      <c r="A65" s="18" t="s">
        <v>37</v>
      </c>
      <c r="B65" s="18" t="s">
        <v>40</v>
      </c>
      <c r="C65" s="18" t="s">
        <v>166</v>
      </c>
      <c r="D65" s="18" t="s">
        <v>169</v>
      </c>
    </row>
    <row r="66" spans="1:4" x14ac:dyDescent="0.3">
      <c r="A66" s="6" t="s">
        <v>37</v>
      </c>
      <c r="B66" s="6" t="s">
        <v>40</v>
      </c>
      <c r="C66" s="6" t="s">
        <v>166</v>
      </c>
      <c r="D66" s="6" t="s">
        <v>170</v>
      </c>
    </row>
    <row r="67" spans="1:4" x14ac:dyDescent="0.3">
      <c r="A67" s="18" t="s">
        <v>37</v>
      </c>
      <c r="B67" s="18" t="s">
        <v>40</v>
      </c>
      <c r="C67" s="18" t="s">
        <v>166</v>
      </c>
      <c r="D67" s="18" t="s">
        <v>171</v>
      </c>
    </row>
    <row r="68" spans="1:4" x14ac:dyDescent="0.3">
      <c r="A68" s="6" t="s">
        <v>37</v>
      </c>
      <c r="B68" s="6" t="s">
        <v>40</v>
      </c>
      <c r="C68" s="6" t="s">
        <v>166</v>
      </c>
      <c r="D68" s="6" t="s">
        <v>172</v>
      </c>
    </row>
    <row r="69" spans="1:4" x14ac:dyDescent="0.3">
      <c r="A69" s="18" t="s">
        <v>37</v>
      </c>
      <c r="B69" s="18" t="s">
        <v>40</v>
      </c>
      <c r="C69" s="18" t="s">
        <v>166</v>
      </c>
      <c r="D69" s="18" t="s">
        <v>173</v>
      </c>
    </row>
    <row r="70" spans="1:4" x14ac:dyDescent="0.3">
      <c r="A70" s="6" t="s">
        <v>37</v>
      </c>
      <c r="B70" s="6" t="s">
        <v>40</v>
      </c>
      <c r="C70" s="6" t="s">
        <v>166</v>
      </c>
      <c r="D70" s="6" t="s">
        <v>174</v>
      </c>
    </row>
    <row r="71" spans="1:4" x14ac:dyDescent="0.3">
      <c r="A71" s="18" t="s">
        <v>37</v>
      </c>
      <c r="B71" s="18" t="s">
        <v>40</v>
      </c>
      <c r="C71" s="18" t="s">
        <v>175</v>
      </c>
      <c r="D71" s="18" t="s">
        <v>176</v>
      </c>
    </row>
    <row r="72" spans="1:4" x14ac:dyDescent="0.3">
      <c r="A72" s="6" t="s">
        <v>37</v>
      </c>
      <c r="B72" s="6" t="s">
        <v>40</v>
      </c>
      <c r="C72" s="6" t="s">
        <v>175</v>
      </c>
      <c r="D72" s="6" t="s">
        <v>177</v>
      </c>
    </row>
    <row r="73" spans="1:4" x14ac:dyDescent="0.3">
      <c r="A73" s="18" t="s">
        <v>37</v>
      </c>
      <c r="B73" s="18" t="s">
        <v>40</v>
      </c>
      <c r="C73" s="18" t="s">
        <v>175</v>
      </c>
      <c r="D73" s="18" t="s">
        <v>178</v>
      </c>
    </row>
    <row r="74" spans="1:4" x14ac:dyDescent="0.3">
      <c r="A74" s="6" t="s">
        <v>37</v>
      </c>
      <c r="B74" s="6" t="s">
        <v>40</v>
      </c>
      <c r="C74" s="6" t="s">
        <v>175</v>
      </c>
      <c r="D74" s="6" t="s">
        <v>179</v>
      </c>
    </row>
    <row r="75" spans="1:4" x14ac:dyDescent="0.3">
      <c r="A75" s="18" t="s">
        <v>37</v>
      </c>
      <c r="B75" s="18" t="s">
        <v>40</v>
      </c>
      <c r="C75" s="18" t="s">
        <v>175</v>
      </c>
      <c r="D75" s="18" t="s">
        <v>180</v>
      </c>
    </row>
    <row r="76" spans="1:4" x14ac:dyDescent="0.3">
      <c r="A76" s="6" t="s">
        <v>37</v>
      </c>
      <c r="B76" s="6" t="s">
        <v>40</v>
      </c>
      <c r="C76" s="6" t="s">
        <v>175</v>
      </c>
      <c r="D76" s="6" t="s">
        <v>181</v>
      </c>
    </row>
    <row r="77" spans="1:4" x14ac:dyDescent="0.3">
      <c r="A77" s="18" t="s">
        <v>37</v>
      </c>
      <c r="B77" s="18" t="s">
        <v>47</v>
      </c>
      <c r="C77" s="18" t="s">
        <v>166</v>
      </c>
      <c r="D77" s="18" t="s">
        <v>182</v>
      </c>
    </row>
    <row r="78" spans="1:4" x14ac:dyDescent="0.3">
      <c r="A78" s="6" t="s">
        <v>37</v>
      </c>
      <c r="B78" s="6" t="s">
        <v>47</v>
      </c>
      <c r="C78" s="6" t="s">
        <v>166</v>
      </c>
      <c r="D78" s="6" t="s">
        <v>183</v>
      </c>
    </row>
    <row r="79" spans="1:4" x14ac:dyDescent="0.3">
      <c r="A79" s="18" t="s">
        <v>37</v>
      </c>
      <c r="B79" s="18" t="s">
        <v>47</v>
      </c>
      <c r="C79" s="18" t="s">
        <v>166</v>
      </c>
      <c r="D79" s="18" t="s">
        <v>184</v>
      </c>
    </row>
    <row r="80" spans="1:4" x14ac:dyDescent="0.3">
      <c r="A80" s="6" t="s">
        <v>37</v>
      </c>
      <c r="B80" s="6" t="s">
        <v>47</v>
      </c>
      <c r="C80" s="6" t="s">
        <v>166</v>
      </c>
      <c r="D80" s="6" t="s">
        <v>185</v>
      </c>
    </row>
    <row r="81" spans="1:4" x14ac:dyDescent="0.3">
      <c r="A81" s="18" t="s">
        <v>37</v>
      </c>
      <c r="B81" s="18" t="s">
        <v>47</v>
      </c>
      <c r="C81" s="18" t="s">
        <v>166</v>
      </c>
      <c r="D81" s="18" t="s">
        <v>186</v>
      </c>
    </row>
    <row r="82" spans="1:4" x14ac:dyDescent="0.3">
      <c r="A82" s="6" t="s">
        <v>37</v>
      </c>
      <c r="B82" s="6" t="s">
        <v>187</v>
      </c>
      <c r="C82" s="6" t="s">
        <v>188</v>
      </c>
      <c r="D82" s="6" t="s">
        <v>189</v>
      </c>
    </row>
    <row r="83" spans="1:4" x14ac:dyDescent="0.3">
      <c r="A83" s="18" t="s">
        <v>37</v>
      </c>
      <c r="B83" s="18" t="s">
        <v>187</v>
      </c>
      <c r="C83" s="18" t="s">
        <v>188</v>
      </c>
      <c r="D83" s="18" t="s">
        <v>190</v>
      </c>
    </row>
    <row r="84" spans="1:4" x14ac:dyDescent="0.3">
      <c r="A84" s="6" t="s">
        <v>37</v>
      </c>
      <c r="B84" s="6" t="s">
        <v>187</v>
      </c>
      <c r="C84" s="6" t="s">
        <v>188</v>
      </c>
      <c r="D84" s="6" t="s">
        <v>191</v>
      </c>
    </row>
    <row r="85" spans="1:4" x14ac:dyDescent="0.3">
      <c r="A85" s="18" t="s">
        <v>37</v>
      </c>
      <c r="B85" s="18" t="s">
        <v>187</v>
      </c>
      <c r="C85" s="18" t="s">
        <v>188</v>
      </c>
      <c r="D85" s="18" t="s">
        <v>192</v>
      </c>
    </row>
    <row r="86" spans="1:4" x14ac:dyDescent="0.3">
      <c r="A86" s="6" t="s">
        <v>37</v>
      </c>
      <c r="B86" s="6" t="s">
        <v>193</v>
      </c>
      <c r="C86" s="6" t="s">
        <v>194</v>
      </c>
      <c r="D86" s="6" t="s">
        <v>195</v>
      </c>
    </row>
    <row r="87" spans="1:4" x14ac:dyDescent="0.3">
      <c r="A87" s="26" t="s">
        <v>196</v>
      </c>
      <c r="B87" s="27"/>
      <c r="C87" s="27"/>
      <c r="D87" s="28"/>
    </row>
    <row r="88" spans="1:4" x14ac:dyDescent="0.3">
      <c r="A88" s="6" t="s">
        <v>54</v>
      </c>
      <c r="B88" s="6" t="s">
        <v>66</v>
      </c>
      <c r="C88" s="6" t="s">
        <v>197</v>
      </c>
      <c r="D88" s="6" t="s">
        <v>198</v>
      </c>
    </row>
    <row r="89" spans="1:4" x14ac:dyDescent="0.3">
      <c r="A89" s="18" t="s">
        <v>54</v>
      </c>
      <c r="B89" s="18" t="s">
        <v>66</v>
      </c>
      <c r="C89" s="18" t="s">
        <v>197</v>
      </c>
      <c r="D89" s="18" t="s">
        <v>199</v>
      </c>
    </row>
    <row r="90" spans="1:4" x14ac:dyDescent="0.3">
      <c r="A90" s="6" t="s">
        <v>54</v>
      </c>
      <c r="B90" s="6" t="s">
        <v>66</v>
      </c>
      <c r="C90" s="6" t="s">
        <v>197</v>
      </c>
      <c r="D90" s="6" t="s">
        <v>200</v>
      </c>
    </row>
    <row r="91" spans="1:4" x14ac:dyDescent="0.3">
      <c r="A91" s="18" t="s">
        <v>54</v>
      </c>
      <c r="B91" s="18" t="s">
        <v>66</v>
      </c>
      <c r="C91" s="18" t="s">
        <v>197</v>
      </c>
      <c r="D91" s="18" t="s">
        <v>201</v>
      </c>
    </row>
    <row r="92" spans="1:4" x14ac:dyDescent="0.3">
      <c r="A92" s="6" t="s">
        <v>54</v>
      </c>
      <c r="B92" s="6" t="s">
        <v>66</v>
      </c>
      <c r="C92" s="6" t="s">
        <v>197</v>
      </c>
      <c r="D92" s="6" t="s">
        <v>202</v>
      </c>
    </row>
    <row r="93" spans="1:4" x14ac:dyDescent="0.3">
      <c r="A93" s="18" t="s">
        <v>54</v>
      </c>
      <c r="B93" s="18" t="s">
        <v>66</v>
      </c>
      <c r="C93" s="18" t="s">
        <v>203</v>
      </c>
      <c r="D93" s="18" t="s">
        <v>204</v>
      </c>
    </row>
    <row r="94" spans="1:4" x14ac:dyDescent="0.3">
      <c r="A94" s="6" t="s">
        <v>54</v>
      </c>
      <c r="B94" s="6" t="s">
        <v>66</v>
      </c>
      <c r="C94" s="6" t="s">
        <v>203</v>
      </c>
      <c r="D94" s="6" t="s">
        <v>205</v>
      </c>
    </row>
    <row r="95" spans="1:4" x14ac:dyDescent="0.3">
      <c r="A95" s="18" t="s">
        <v>54</v>
      </c>
      <c r="B95" s="18" t="s">
        <v>66</v>
      </c>
      <c r="C95" s="18" t="s">
        <v>203</v>
      </c>
      <c r="D95" s="18" t="s">
        <v>206</v>
      </c>
    </row>
    <row r="96" spans="1:4" x14ac:dyDescent="0.3">
      <c r="A96" s="6" t="s">
        <v>54</v>
      </c>
      <c r="B96" s="6" t="s">
        <v>66</v>
      </c>
      <c r="C96" s="6" t="s">
        <v>203</v>
      </c>
      <c r="D96" s="6" t="s">
        <v>207</v>
      </c>
    </row>
    <row r="97" spans="1:4" x14ac:dyDescent="0.3">
      <c r="A97" s="18" t="s">
        <v>54</v>
      </c>
      <c r="B97" s="18" t="s">
        <v>66</v>
      </c>
      <c r="C97" s="18" t="s">
        <v>203</v>
      </c>
      <c r="D97" s="18" t="s">
        <v>208</v>
      </c>
    </row>
    <row r="98" spans="1:4" x14ac:dyDescent="0.3">
      <c r="A98" s="6" t="s">
        <v>54</v>
      </c>
      <c r="B98" s="6" t="s">
        <v>66</v>
      </c>
      <c r="C98" s="6" t="s">
        <v>203</v>
      </c>
      <c r="D98" s="6" t="s">
        <v>209</v>
      </c>
    </row>
    <row r="99" spans="1:4" x14ac:dyDescent="0.3">
      <c r="A99" s="18" t="s">
        <v>54</v>
      </c>
      <c r="B99" s="18" t="s">
        <v>66</v>
      </c>
      <c r="C99" s="18" t="s">
        <v>203</v>
      </c>
      <c r="D99" s="18" t="s">
        <v>210</v>
      </c>
    </row>
    <row r="100" spans="1:4" x14ac:dyDescent="0.3">
      <c r="A100" s="6" t="s">
        <v>54</v>
      </c>
      <c r="B100" s="6" t="s">
        <v>66</v>
      </c>
      <c r="C100" s="6" t="s">
        <v>203</v>
      </c>
      <c r="D100" s="6" t="s">
        <v>211</v>
      </c>
    </row>
    <row r="101" spans="1:4" x14ac:dyDescent="0.3">
      <c r="A101" s="18" t="s">
        <v>54</v>
      </c>
      <c r="B101" s="18" t="s">
        <v>66</v>
      </c>
      <c r="C101" s="18" t="s">
        <v>203</v>
      </c>
      <c r="D101" s="18" t="s">
        <v>212</v>
      </c>
    </row>
    <row r="102" spans="1:4" x14ac:dyDescent="0.3">
      <c r="A102" s="6" t="s">
        <v>54</v>
      </c>
      <c r="B102" s="6" t="s">
        <v>66</v>
      </c>
      <c r="C102" s="6" t="s">
        <v>203</v>
      </c>
      <c r="D102" s="6" t="s">
        <v>213</v>
      </c>
    </row>
    <row r="103" spans="1:4" x14ac:dyDescent="0.3">
      <c r="A103" s="18" t="s">
        <v>54</v>
      </c>
      <c r="B103" s="18" t="s">
        <v>66</v>
      </c>
      <c r="C103" s="18" t="s">
        <v>203</v>
      </c>
      <c r="D103" s="18" t="s">
        <v>214</v>
      </c>
    </row>
    <row r="104" spans="1:4" x14ac:dyDescent="0.3">
      <c r="A104" s="6" t="s">
        <v>54</v>
      </c>
      <c r="B104" s="6" t="s">
        <v>66</v>
      </c>
      <c r="C104" s="6" t="s">
        <v>203</v>
      </c>
      <c r="D104" s="6" t="s">
        <v>215</v>
      </c>
    </row>
    <row r="105" spans="1:4" x14ac:dyDescent="0.3">
      <c r="A105" s="18" t="s">
        <v>54</v>
      </c>
      <c r="B105" s="18" t="s">
        <v>66</v>
      </c>
      <c r="C105" s="18" t="s">
        <v>203</v>
      </c>
      <c r="D105" s="18" t="s">
        <v>216</v>
      </c>
    </row>
    <row r="106" spans="1:4" x14ac:dyDescent="0.3">
      <c r="A106" s="6" t="s">
        <v>54</v>
      </c>
      <c r="B106" s="6" t="s">
        <v>66</v>
      </c>
      <c r="C106" s="6" t="s">
        <v>203</v>
      </c>
      <c r="D106" s="6" t="s">
        <v>217</v>
      </c>
    </row>
    <row r="107" spans="1:4" x14ac:dyDescent="0.3">
      <c r="A107" s="18" t="s">
        <v>54</v>
      </c>
      <c r="B107" s="18" t="s">
        <v>71</v>
      </c>
      <c r="C107" s="18" t="s">
        <v>218</v>
      </c>
      <c r="D107" s="18" t="s">
        <v>219</v>
      </c>
    </row>
    <row r="108" spans="1:4" x14ac:dyDescent="0.3">
      <c r="A108" s="6" t="s">
        <v>54</v>
      </c>
      <c r="B108" s="6" t="s">
        <v>62</v>
      </c>
      <c r="C108" s="6" t="s">
        <v>220</v>
      </c>
      <c r="D108" s="6" t="s">
        <v>221</v>
      </c>
    </row>
    <row r="109" spans="1:4" x14ac:dyDescent="0.3">
      <c r="A109" s="18" t="s">
        <v>54</v>
      </c>
      <c r="B109" s="18" t="s">
        <v>62</v>
      </c>
      <c r="C109" s="18" t="s">
        <v>222</v>
      </c>
      <c r="D109" s="18" t="s">
        <v>223</v>
      </c>
    </row>
    <row r="110" spans="1:4" x14ac:dyDescent="0.3">
      <c r="A110" s="6" t="s">
        <v>54</v>
      </c>
      <c r="B110" s="6" t="s">
        <v>57</v>
      </c>
      <c r="C110" s="6" t="s">
        <v>197</v>
      </c>
      <c r="D110" s="6" t="s">
        <v>224</v>
      </c>
    </row>
    <row r="111" spans="1:4" x14ac:dyDescent="0.3">
      <c r="A111" s="18" t="s">
        <v>54</v>
      </c>
      <c r="B111" s="18" t="s">
        <v>57</v>
      </c>
      <c r="C111" s="18" t="s">
        <v>197</v>
      </c>
      <c r="D111" s="18" t="s">
        <v>225</v>
      </c>
    </row>
    <row r="112" spans="1:4" x14ac:dyDescent="0.3">
      <c r="A112" s="6" t="s">
        <v>54</v>
      </c>
      <c r="B112" s="6" t="s">
        <v>57</v>
      </c>
      <c r="C112" s="6" t="s">
        <v>226</v>
      </c>
      <c r="D112" s="6" t="s">
        <v>227</v>
      </c>
    </row>
    <row r="113" spans="1:4" x14ac:dyDescent="0.3">
      <c r="A113" s="18" t="s">
        <v>54</v>
      </c>
      <c r="B113" s="18" t="s">
        <v>57</v>
      </c>
      <c r="C113" s="18" t="s">
        <v>226</v>
      </c>
      <c r="D113" s="18" t="s">
        <v>228</v>
      </c>
    </row>
    <row r="114" spans="1:4" x14ac:dyDescent="0.3">
      <c r="A114" s="6" t="s">
        <v>54</v>
      </c>
      <c r="B114" s="6" t="s">
        <v>57</v>
      </c>
      <c r="C114" s="6" t="s">
        <v>226</v>
      </c>
      <c r="D114" s="6" t="s">
        <v>229</v>
      </c>
    </row>
    <row r="115" spans="1:4" x14ac:dyDescent="0.3">
      <c r="A115" s="18" t="s">
        <v>54</v>
      </c>
      <c r="B115" s="18" t="s">
        <v>57</v>
      </c>
      <c r="C115" s="18" t="s">
        <v>226</v>
      </c>
      <c r="D115" s="18" t="s">
        <v>230</v>
      </c>
    </row>
    <row r="116" spans="1:4" x14ac:dyDescent="0.3">
      <c r="A116" s="6" t="s">
        <v>54</v>
      </c>
      <c r="B116" s="6" t="s">
        <v>57</v>
      </c>
      <c r="C116" s="6" t="s">
        <v>226</v>
      </c>
      <c r="D116" s="6" t="s">
        <v>231</v>
      </c>
    </row>
    <row r="117" spans="1:4" x14ac:dyDescent="0.3">
      <c r="A117" s="18" t="s">
        <v>54</v>
      </c>
      <c r="B117" s="18" t="s">
        <v>57</v>
      </c>
      <c r="C117" s="18" t="s">
        <v>226</v>
      </c>
      <c r="D117" s="18" t="s">
        <v>232</v>
      </c>
    </row>
    <row r="118" spans="1:4" x14ac:dyDescent="0.3">
      <c r="A118" s="6" t="s">
        <v>54</v>
      </c>
      <c r="B118" s="6" t="s">
        <v>57</v>
      </c>
      <c r="C118" s="6" t="s">
        <v>226</v>
      </c>
      <c r="D118" s="6" t="s">
        <v>233</v>
      </c>
    </row>
    <row r="119" spans="1:4" x14ac:dyDescent="0.3">
      <c r="A119" s="18" t="s">
        <v>54</v>
      </c>
      <c r="B119" s="18" t="s">
        <v>57</v>
      </c>
      <c r="C119" s="18" t="s">
        <v>226</v>
      </c>
      <c r="D119" s="18" t="s">
        <v>234</v>
      </c>
    </row>
    <row r="120" spans="1:4" x14ac:dyDescent="0.3">
      <c r="A120" s="6" t="s">
        <v>54</v>
      </c>
      <c r="B120" s="6" t="s">
        <v>57</v>
      </c>
      <c r="C120" s="6" t="s">
        <v>226</v>
      </c>
      <c r="D120" s="6" t="s">
        <v>235</v>
      </c>
    </row>
    <row r="121" spans="1:4" x14ac:dyDescent="0.3">
      <c r="A121" s="18" t="s">
        <v>54</v>
      </c>
      <c r="B121" s="18" t="s">
        <v>57</v>
      </c>
      <c r="C121" s="18" t="s">
        <v>236</v>
      </c>
      <c r="D121" s="18" t="s">
        <v>237</v>
      </c>
    </row>
    <row r="122" spans="1:4" x14ac:dyDescent="0.3">
      <c r="A122" s="6" t="s">
        <v>54</v>
      </c>
      <c r="B122" s="6" t="s">
        <v>57</v>
      </c>
      <c r="C122" s="6" t="s">
        <v>236</v>
      </c>
      <c r="D122" s="6" t="s">
        <v>238</v>
      </c>
    </row>
    <row r="123" spans="1:4" x14ac:dyDescent="0.3">
      <c r="A123" s="18" t="s">
        <v>54</v>
      </c>
      <c r="B123" s="18" t="s">
        <v>57</v>
      </c>
      <c r="C123" s="18" t="s">
        <v>236</v>
      </c>
      <c r="D123" s="18" t="s">
        <v>239</v>
      </c>
    </row>
    <row r="124" spans="1:4" x14ac:dyDescent="0.3">
      <c r="A124" s="6" t="s">
        <v>54</v>
      </c>
      <c r="B124" s="6" t="s">
        <v>57</v>
      </c>
      <c r="C124" s="6" t="s">
        <v>240</v>
      </c>
      <c r="D124" s="6" t="s">
        <v>241</v>
      </c>
    </row>
    <row r="125" spans="1:4" x14ac:dyDescent="0.3">
      <c r="A125" s="18" t="s">
        <v>54</v>
      </c>
      <c r="B125" s="18" t="s">
        <v>57</v>
      </c>
      <c r="C125" s="18" t="s">
        <v>240</v>
      </c>
      <c r="D125" s="18" t="s">
        <v>242</v>
      </c>
    </row>
    <row r="126" spans="1:4" x14ac:dyDescent="0.3">
      <c r="A126" s="6" t="s">
        <v>54</v>
      </c>
      <c r="B126" s="6" t="s">
        <v>57</v>
      </c>
      <c r="C126" s="6" t="s">
        <v>243</v>
      </c>
      <c r="D126" s="6" t="s">
        <v>244</v>
      </c>
    </row>
    <row r="127" spans="1:4" x14ac:dyDescent="0.3">
      <c r="A127" s="18" t="s">
        <v>54</v>
      </c>
      <c r="B127" s="18" t="s">
        <v>57</v>
      </c>
      <c r="C127" s="18" t="s">
        <v>243</v>
      </c>
      <c r="D127" s="18" t="s">
        <v>245</v>
      </c>
    </row>
    <row r="128" spans="1:4" x14ac:dyDescent="0.3">
      <c r="A128" s="6" t="s">
        <v>54</v>
      </c>
      <c r="B128" s="6" t="s">
        <v>57</v>
      </c>
      <c r="C128" s="6" t="s">
        <v>243</v>
      </c>
      <c r="D128" s="6" t="s">
        <v>246</v>
      </c>
    </row>
    <row r="129" spans="1:4" x14ac:dyDescent="0.3">
      <c r="A129" s="18" t="s">
        <v>54</v>
      </c>
      <c r="B129" s="18" t="s">
        <v>57</v>
      </c>
      <c r="C129" s="18" t="s">
        <v>243</v>
      </c>
      <c r="D129" s="18" t="s">
        <v>247</v>
      </c>
    </row>
    <row r="130" spans="1:4" x14ac:dyDescent="0.3">
      <c r="A130" s="6" t="s">
        <v>54</v>
      </c>
      <c r="B130" s="6" t="s">
        <v>57</v>
      </c>
      <c r="C130" s="6" t="s">
        <v>243</v>
      </c>
      <c r="D130" s="6" t="s">
        <v>248</v>
      </c>
    </row>
    <row r="131" spans="1:4" x14ac:dyDescent="0.3">
      <c r="A131" s="18" t="s">
        <v>54</v>
      </c>
      <c r="B131" s="18" t="s">
        <v>57</v>
      </c>
      <c r="C131" s="18" t="s">
        <v>249</v>
      </c>
      <c r="D131" s="18" t="s">
        <v>250</v>
      </c>
    </row>
    <row r="132" spans="1:4" x14ac:dyDescent="0.3">
      <c r="A132" s="6" t="s">
        <v>54</v>
      </c>
      <c r="B132" s="6" t="s">
        <v>251</v>
      </c>
      <c r="C132" s="6" t="s">
        <v>252</v>
      </c>
      <c r="D132" s="6" t="s">
        <v>253</v>
      </c>
    </row>
    <row r="133" spans="1:4" x14ac:dyDescent="0.3">
      <c r="A133" s="18" t="s">
        <v>54</v>
      </c>
      <c r="B133" s="18" t="s">
        <v>251</v>
      </c>
      <c r="C133" s="18" t="s">
        <v>254</v>
      </c>
      <c r="D133" s="18" t="s">
        <v>255</v>
      </c>
    </row>
    <row r="134" spans="1:4" x14ac:dyDescent="0.3">
      <c r="A134" s="6" t="s">
        <v>54</v>
      </c>
      <c r="B134" s="6" t="s">
        <v>256</v>
      </c>
      <c r="C134" s="6" t="s">
        <v>257</v>
      </c>
      <c r="D134" s="6" t="s">
        <v>258</v>
      </c>
    </row>
    <row r="135" spans="1:4" x14ac:dyDescent="0.3">
      <c r="A135" s="26" t="s">
        <v>259</v>
      </c>
      <c r="B135" s="27"/>
      <c r="C135" s="27"/>
      <c r="D135" s="28"/>
    </row>
    <row r="136" spans="1:4" x14ac:dyDescent="0.3">
      <c r="A136" s="6" t="s">
        <v>260</v>
      </c>
      <c r="B136" s="6" t="s">
        <v>261</v>
      </c>
      <c r="C136" s="6" t="s">
        <v>262</v>
      </c>
      <c r="D136" s="6" t="s">
        <v>263</v>
      </c>
    </row>
    <row r="137" spans="1:4" x14ac:dyDescent="0.3">
      <c r="A137" s="18" t="s">
        <v>260</v>
      </c>
      <c r="B137" s="18" t="s">
        <v>261</v>
      </c>
      <c r="C137" s="18" t="s">
        <v>264</v>
      </c>
      <c r="D137" s="18" t="s">
        <v>265</v>
      </c>
    </row>
    <row r="138" spans="1:4" x14ac:dyDescent="0.3">
      <c r="A138" s="6" t="s">
        <v>260</v>
      </c>
      <c r="B138" s="6" t="s">
        <v>261</v>
      </c>
      <c r="C138" s="6" t="s">
        <v>266</v>
      </c>
      <c r="D138" s="6" t="s">
        <v>263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zoomScaleNormal="100" workbookViewId="0"/>
  </sheetViews>
  <sheetFormatPr defaultColWidth="8.6640625" defaultRowHeight="14.4" x14ac:dyDescent="0.3"/>
  <cols>
    <col min="1" max="1" width="36" customWidth="1"/>
    <col min="2" max="2" width="24" customWidth="1"/>
    <col min="3" max="3" width="22" customWidth="1"/>
    <col min="4" max="4" width="16" customWidth="1"/>
  </cols>
  <sheetData>
    <row r="1" spans="1:4" x14ac:dyDescent="0.3">
      <c r="A1" s="25" t="s">
        <v>267</v>
      </c>
      <c r="B1" s="25" t="s">
        <v>268</v>
      </c>
      <c r="C1" s="25" t="s">
        <v>269</v>
      </c>
      <c r="D1" s="25" t="s">
        <v>270</v>
      </c>
    </row>
    <row r="2" spans="1:4" x14ac:dyDescent="0.3">
      <c r="A2" s="6" t="s">
        <v>271</v>
      </c>
      <c r="B2" s="6" t="s">
        <v>50</v>
      </c>
      <c r="C2" s="6" t="s">
        <v>272</v>
      </c>
      <c r="D2" s="6" t="s">
        <v>37</v>
      </c>
    </row>
    <row r="3" spans="1:4" x14ac:dyDescent="0.3">
      <c r="A3" s="18" t="s">
        <v>271</v>
      </c>
      <c r="B3" s="18" t="s">
        <v>273</v>
      </c>
      <c r="C3" s="18" t="s">
        <v>274</v>
      </c>
      <c r="D3" s="18" t="s">
        <v>37</v>
      </c>
    </row>
    <row r="4" spans="1:4" x14ac:dyDescent="0.3">
      <c r="A4" s="6" t="s">
        <v>271</v>
      </c>
      <c r="B4" s="6" t="s">
        <v>275</v>
      </c>
      <c r="C4" s="6" t="s">
        <v>276</v>
      </c>
      <c r="D4" s="6" t="s">
        <v>37</v>
      </c>
    </row>
    <row r="5" spans="1:4" x14ac:dyDescent="0.3">
      <c r="A5" s="18" t="s">
        <v>271</v>
      </c>
      <c r="B5" s="18" t="s">
        <v>277</v>
      </c>
      <c r="C5" s="18" t="s">
        <v>278</v>
      </c>
      <c r="D5" s="18" t="s">
        <v>37</v>
      </c>
    </row>
    <row r="6" spans="1:4" x14ac:dyDescent="0.3">
      <c r="A6" s="6" t="s">
        <v>271</v>
      </c>
      <c r="B6" s="6" t="s">
        <v>279</v>
      </c>
      <c r="C6" s="6" t="s">
        <v>280</v>
      </c>
      <c r="D6" s="6" t="s">
        <v>37</v>
      </c>
    </row>
    <row r="7" spans="1:4" x14ac:dyDescent="0.3">
      <c r="A7" s="18" t="s">
        <v>271</v>
      </c>
      <c r="B7" s="18" t="s">
        <v>281</v>
      </c>
      <c r="C7" s="18" t="s">
        <v>282</v>
      </c>
      <c r="D7" s="18" t="s">
        <v>37</v>
      </c>
    </row>
    <row r="8" spans="1:4" x14ac:dyDescent="0.3">
      <c r="A8" s="6" t="s">
        <v>271</v>
      </c>
      <c r="B8" s="6" t="s">
        <v>283</v>
      </c>
      <c r="C8" s="6" t="s">
        <v>284</v>
      </c>
      <c r="D8" s="6" t="s">
        <v>37</v>
      </c>
    </row>
    <row r="9" spans="1:4" x14ac:dyDescent="0.3">
      <c r="A9" s="18" t="s">
        <v>271</v>
      </c>
      <c r="B9" s="18" t="s">
        <v>285</v>
      </c>
      <c r="C9" s="18" t="s">
        <v>278</v>
      </c>
      <c r="D9" s="18" t="s">
        <v>37</v>
      </c>
    </row>
    <row r="10" spans="1:4" x14ac:dyDescent="0.3">
      <c r="A10" s="6" t="s">
        <v>271</v>
      </c>
      <c r="B10" s="6" t="s">
        <v>45</v>
      </c>
      <c r="C10" s="6" t="s">
        <v>286</v>
      </c>
      <c r="D10" s="6" t="s">
        <v>37</v>
      </c>
    </row>
    <row r="11" spans="1:4" x14ac:dyDescent="0.3">
      <c r="A11" s="18" t="s">
        <v>271</v>
      </c>
      <c r="B11" s="18" t="s">
        <v>287</v>
      </c>
      <c r="C11" s="18" t="s">
        <v>280</v>
      </c>
      <c r="D11" s="18" t="s">
        <v>37</v>
      </c>
    </row>
    <row r="12" spans="1:4" x14ac:dyDescent="0.3">
      <c r="A12" s="6" t="s">
        <v>271</v>
      </c>
      <c r="B12" s="6" t="s">
        <v>288</v>
      </c>
      <c r="C12" s="6" t="s">
        <v>276</v>
      </c>
      <c r="D12" s="6" t="s">
        <v>37</v>
      </c>
    </row>
    <row r="13" spans="1:4" x14ac:dyDescent="0.3">
      <c r="A13" s="18" t="s">
        <v>271</v>
      </c>
      <c r="B13" s="18" t="s">
        <v>289</v>
      </c>
      <c r="C13" s="18" t="s">
        <v>290</v>
      </c>
      <c r="D13" s="18" t="s">
        <v>37</v>
      </c>
    </row>
    <row r="14" spans="1:4" x14ac:dyDescent="0.3">
      <c r="A14" s="6" t="s">
        <v>291</v>
      </c>
      <c r="B14" s="6" t="s">
        <v>273</v>
      </c>
      <c r="C14" s="6" t="s">
        <v>274</v>
      </c>
      <c r="D14" s="6" t="s">
        <v>54</v>
      </c>
    </row>
    <row r="15" spans="1:4" x14ac:dyDescent="0.3">
      <c r="A15" s="18" t="s">
        <v>291</v>
      </c>
      <c r="B15" s="18" t="s">
        <v>275</v>
      </c>
      <c r="C15" s="18" t="s">
        <v>276</v>
      </c>
      <c r="D15" s="18" t="s">
        <v>54</v>
      </c>
    </row>
    <row r="16" spans="1:4" x14ac:dyDescent="0.3">
      <c r="A16" s="6" t="s">
        <v>291</v>
      </c>
      <c r="B16" s="6" t="s">
        <v>277</v>
      </c>
      <c r="C16" s="6" t="s">
        <v>278</v>
      </c>
      <c r="D16" s="6" t="s">
        <v>54</v>
      </c>
    </row>
    <row r="17" spans="1:4" x14ac:dyDescent="0.3">
      <c r="A17" s="18" t="s">
        <v>291</v>
      </c>
      <c r="B17" s="18" t="s">
        <v>279</v>
      </c>
      <c r="C17" s="18" t="s">
        <v>280</v>
      </c>
      <c r="D17" s="18" t="s">
        <v>54</v>
      </c>
    </row>
    <row r="18" spans="1:4" x14ac:dyDescent="0.3">
      <c r="A18" s="6" t="s">
        <v>291</v>
      </c>
      <c r="B18" s="6" t="s">
        <v>281</v>
      </c>
      <c r="C18" s="6" t="s">
        <v>282</v>
      </c>
      <c r="D18" s="6" t="s">
        <v>54</v>
      </c>
    </row>
    <row r="19" spans="1:4" x14ac:dyDescent="0.3">
      <c r="A19" s="18" t="s">
        <v>291</v>
      </c>
      <c r="B19" s="18" t="s">
        <v>75</v>
      </c>
      <c r="C19" s="18" t="s">
        <v>292</v>
      </c>
      <c r="D19" s="18" t="s">
        <v>54</v>
      </c>
    </row>
    <row r="20" spans="1:4" x14ac:dyDescent="0.3">
      <c r="A20" s="6" t="s">
        <v>291</v>
      </c>
      <c r="B20" s="6" t="s">
        <v>283</v>
      </c>
      <c r="C20" s="6" t="s">
        <v>284</v>
      </c>
      <c r="D20" s="6" t="s">
        <v>54</v>
      </c>
    </row>
    <row r="21" spans="1:4" x14ac:dyDescent="0.3">
      <c r="A21" s="18" t="s">
        <v>291</v>
      </c>
      <c r="B21" s="18" t="s">
        <v>293</v>
      </c>
      <c r="C21" s="18" t="s">
        <v>294</v>
      </c>
      <c r="D21" s="18" t="s">
        <v>54</v>
      </c>
    </row>
    <row r="22" spans="1:4" x14ac:dyDescent="0.3">
      <c r="A22" s="6" t="s">
        <v>291</v>
      </c>
      <c r="B22" s="6" t="s">
        <v>285</v>
      </c>
      <c r="C22" s="6" t="s">
        <v>278</v>
      </c>
      <c r="D22" s="6" t="s">
        <v>54</v>
      </c>
    </row>
    <row r="23" spans="1:4" x14ac:dyDescent="0.3">
      <c r="A23" s="18" t="s">
        <v>291</v>
      </c>
      <c r="B23" s="18" t="s">
        <v>69</v>
      </c>
      <c r="C23" s="18" t="s">
        <v>295</v>
      </c>
      <c r="D23" s="18" t="s">
        <v>54</v>
      </c>
    </row>
    <row r="24" spans="1:4" x14ac:dyDescent="0.3">
      <c r="A24" s="6" t="s">
        <v>291</v>
      </c>
      <c r="B24" s="6" t="s">
        <v>287</v>
      </c>
      <c r="C24" s="6" t="s">
        <v>280</v>
      </c>
      <c r="D24" s="6" t="s">
        <v>54</v>
      </c>
    </row>
    <row r="25" spans="1:4" x14ac:dyDescent="0.3">
      <c r="A25" s="18" t="s">
        <v>291</v>
      </c>
      <c r="B25" s="18" t="s">
        <v>288</v>
      </c>
      <c r="C25" s="18" t="s">
        <v>276</v>
      </c>
      <c r="D25" s="18" t="s">
        <v>54</v>
      </c>
    </row>
    <row r="26" spans="1:4" x14ac:dyDescent="0.3">
      <c r="A26" s="6" t="s">
        <v>291</v>
      </c>
      <c r="B26" s="6" t="s">
        <v>289</v>
      </c>
      <c r="C26" s="6" t="s">
        <v>290</v>
      </c>
      <c r="D26" s="6" t="s">
        <v>54</v>
      </c>
    </row>
    <row r="27" spans="1:4" x14ac:dyDescent="0.3">
      <c r="A27" s="18" t="s">
        <v>296</v>
      </c>
      <c r="B27" s="18" t="s">
        <v>273</v>
      </c>
      <c r="C27" s="18" t="s">
        <v>274</v>
      </c>
      <c r="D27" s="18" t="s">
        <v>81</v>
      </c>
    </row>
    <row r="28" spans="1:4" x14ac:dyDescent="0.3">
      <c r="A28" s="6" t="s">
        <v>296</v>
      </c>
      <c r="B28" s="6" t="s">
        <v>281</v>
      </c>
      <c r="C28" s="6" t="s">
        <v>282</v>
      </c>
      <c r="D28" s="6" t="s">
        <v>81</v>
      </c>
    </row>
    <row r="29" spans="1:4" x14ac:dyDescent="0.3">
      <c r="A29" s="29" t="s">
        <v>296</v>
      </c>
      <c r="B29" s="29" t="s">
        <v>297</v>
      </c>
      <c r="C29" s="29" t="s">
        <v>298</v>
      </c>
      <c r="D29" s="29" t="s">
        <v>81</v>
      </c>
    </row>
    <row r="30" spans="1:4" x14ac:dyDescent="0.3">
      <c r="A30" s="6" t="s">
        <v>296</v>
      </c>
      <c r="B30" s="6" t="s">
        <v>289</v>
      </c>
      <c r="C30" s="6" t="s">
        <v>290</v>
      </c>
      <c r="D30" s="6" t="s">
        <v>81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V21"/>
  <sheetViews>
    <sheetView zoomScaleNormal="100" workbookViewId="0"/>
  </sheetViews>
  <sheetFormatPr defaultColWidth="8.6640625" defaultRowHeight="14.4" x14ac:dyDescent="0.3"/>
  <sheetData>
    <row r="3" spans="1:22" ht="15.6" x14ac:dyDescent="0.3">
      <c r="A3" s="30" t="s">
        <v>299</v>
      </c>
    </row>
    <row r="4" spans="1:22" ht="15.6" x14ac:dyDescent="0.3">
      <c r="A4" s="30"/>
    </row>
    <row r="5" spans="1:22" ht="15.6" x14ac:dyDescent="0.3">
      <c r="A5" s="31" t="s">
        <v>300</v>
      </c>
      <c r="B5" s="32"/>
      <c r="C5" s="32"/>
      <c r="D5" s="32"/>
    </row>
    <row r="6" spans="1:22" ht="15.6" x14ac:dyDescent="0.3">
      <c r="A6" s="30"/>
    </row>
    <row r="7" spans="1:22" ht="15.6" x14ac:dyDescent="0.3">
      <c r="A7" s="30" t="s">
        <v>301</v>
      </c>
    </row>
    <row r="8" spans="1:22" ht="15.6" x14ac:dyDescent="0.3">
      <c r="A8" s="30" t="s">
        <v>302</v>
      </c>
    </row>
    <row r="12" spans="1:22" ht="15.6" x14ac:dyDescent="0.3">
      <c r="A12" s="30" t="s">
        <v>303</v>
      </c>
    </row>
    <row r="13" spans="1:22" ht="15.6" x14ac:dyDescent="0.3">
      <c r="A13" s="30"/>
    </row>
    <row r="14" spans="1:22" ht="15.6" x14ac:dyDescent="0.3">
      <c r="A14" s="31" t="s">
        <v>304</v>
      </c>
      <c r="B14" s="32"/>
      <c r="C14" s="32"/>
      <c r="D14" s="32"/>
      <c r="E14" s="32"/>
      <c r="F14" s="32"/>
      <c r="G14" s="32"/>
      <c r="H14" s="32"/>
      <c r="I14" s="32"/>
      <c r="J14" s="32"/>
      <c r="K14" s="32"/>
      <c r="L14" s="32"/>
      <c r="M14" s="32"/>
      <c r="N14" s="32"/>
      <c r="O14" s="32"/>
      <c r="P14" s="32"/>
      <c r="Q14" s="32"/>
      <c r="R14" s="32"/>
      <c r="S14" s="32"/>
      <c r="T14" s="32"/>
      <c r="U14" s="32"/>
      <c r="V14" s="32"/>
    </row>
    <row r="15" spans="1:22" ht="15.6" x14ac:dyDescent="0.3">
      <c r="A15" s="30"/>
    </row>
    <row r="16" spans="1:22" ht="15.6" x14ac:dyDescent="0.3">
      <c r="A16" s="30" t="s">
        <v>305</v>
      </c>
    </row>
    <row r="17" spans="1:1" ht="15.6" x14ac:dyDescent="0.3">
      <c r="A17" s="30"/>
    </row>
    <row r="18" spans="1:1" ht="15.6" x14ac:dyDescent="0.3">
      <c r="A18" s="30" t="s">
        <v>306</v>
      </c>
    </row>
    <row r="19" spans="1:1" ht="15.6" x14ac:dyDescent="0.3">
      <c r="A19" s="30"/>
    </row>
    <row r="20" spans="1:1" ht="15.6" x14ac:dyDescent="0.3">
      <c r="A20" s="30" t="s">
        <v>307</v>
      </c>
    </row>
    <row r="21" spans="1:1" ht="15.6" x14ac:dyDescent="0.3">
      <c r="A21" s="3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Report</vt:lpstr>
      <vt:lpstr>Connector Details</vt:lpstr>
      <vt:lpstr>AD Ownership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2026-04-22T13:17:00Z</dcterms:created>
  <dcterms:modified xsi:type="dcterms:W3CDTF">2026-04-22T13:19:42Z</dcterms:modified>
  <dc:language>en-US</dc:language>
</cp:coreProperties>
</file>