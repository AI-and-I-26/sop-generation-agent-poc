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hit\Downloads\"/>
    </mc:Choice>
  </mc:AlternateContent>
  <xr:revisionPtr revIDLastSave="0" documentId="13_ncr:1_{21742A41-54D2-4181-94C3-3409C5E1EDD8}" xr6:coauthVersionLast="47" xr6:coauthVersionMax="47" xr10:uidLastSave="{00000000-0000-0000-0000-000000000000}"/>
  <bookViews>
    <workbookView xWindow="-108" yWindow="-108" windowWidth="23256" windowHeight="13896" tabRatio="500" firstSheet="6" activeTab="8" xr2:uid="{00000000-000D-0000-FFFF-FFFF00000000}"/>
  </bookViews>
  <sheets>
    <sheet name="Key Assumptions" sheetId="1" r:id="rId1"/>
    <sheet name="Assumptions" sheetId="2" r:id="rId2"/>
    <sheet name="Revised Scope Estimate" sheetId="3" r:id="rId3"/>
    <sheet name="Executive Summary" sheetId="4" r:id="rId4"/>
    <sheet name="Cost Comparison" sheetId="5" r:id="rId5"/>
    <sheet name="Migration Plan &amp; Costs" sheetId="6" r:id="rId6"/>
    <sheet name="Risks &amp; Assumptions" sheetId="7" r:id="rId7"/>
    <sheet name="6-Month Migration Plan" sheetId="8" r:id="rId8"/>
    <sheet name="Financial Model (Jun26-Dec30)" sheetId="9" r:id="rId9"/>
    <sheet name="Migration Architecture" sheetId="10" r:id="rId10"/>
    <sheet name="Architecture &amp; Connectivity"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85" i="9" l="1"/>
  <c r="C85" i="9"/>
  <c r="C84" i="9"/>
  <c r="C83" i="9"/>
  <c r="C82" i="9"/>
  <c r="C81" i="9"/>
  <c r="F80" i="9"/>
  <c r="D80" i="9"/>
  <c r="C80" i="9"/>
  <c r="F23" i="9"/>
  <c r="D23" i="9"/>
  <c r="C23" i="9"/>
  <c r="H22" i="9"/>
  <c r="H23" i="9" s="1"/>
  <c r="E22" i="9"/>
  <c r="H21" i="9"/>
  <c r="E21" i="9"/>
  <c r="H20" i="9"/>
  <c r="E20" i="9"/>
  <c r="H19" i="9"/>
  <c r="E19" i="9"/>
  <c r="H18" i="9"/>
  <c r="E18" i="9"/>
  <c r="H17" i="9"/>
  <c r="E17" i="9"/>
  <c r="E23" i="9" s="1"/>
  <c r="B11" i="9"/>
  <c r="B8" i="9"/>
  <c r="K10" i="8"/>
  <c r="K9" i="8"/>
  <c r="K8" i="8"/>
  <c r="K6" i="8"/>
  <c r="B53" i="6"/>
  <c r="F45" i="6"/>
  <c r="F44" i="6"/>
  <c r="F43" i="6"/>
  <c r="F42" i="6"/>
  <c r="F41" i="6"/>
  <c r="B41" i="6"/>
  <c r="D40" i="6"/>
  <c r="F35" i="6"/>
  <c r="E35" i="6"/>
  <c r="F34" i="6"/>
  <c r="E34" i="6"/>
  <c r="G27" i="6"/>
  <c r="F27" i="6"/>
  <c r="B27" i="6"/>
  <c r="D27" i="6" s="1"/>
  <c r="G26" i="6"/>
  <c r="F26" i="6"/>
  <c r="D26" i="6"/>
  <c r="H26" i="6" s="1"/>
  <c r="B26" i="6"/>
  <c r="G25" i="6"/>
  <c r="F25" i="6"/>
  <c r="B25" i="6"/>
  <c r="D25" i="6" s="1"/>
  <c r="G24" i="6"/>
  <c r="F24" i="6"/>
  <c r="B24" i="6"/>
  <c r="D24" i="6" s="1"/>
  <c r="H19" i="6"/>
  <c r="B51" i="6" s="1"/>
  <c r="G18" i="6"/>
  <c r="F18" i="6"/>
  <c r="E18" i="6"/>
  <c r="D18" i="6"/>
  <c r="G17" i="6"/>
  <c r="F17" i="6"/>
  <c r="E17" i="6"/>
  <c r="D17" i="6"/>
  <c r="F11" i="6"/>
  <c r="E11" i="6"/>
  <c r="B11" i="6"/>
  <c r="C11" i="6" s="1"/>
  <c r="G11" i="6" s="1"/>
  <c r="F10" i="6"/>
  <c r="E10" i="6"/>
  <c r="C10" i="6"/>
  <c r="G10" i="6" s="1"/>
  <c r="B10" i="6"/>
  <c r="F9" i="6"/>
  <c r="E9" i="6"/>
  <c r="B9" i="6"/>
  <c r="C9" i="6" s="1"/>
  <c r="G9" i="6" s="1"/>
  <c r="B8" i="6"/>
  <c r="C8" i="6" s="1"/>
  <c r="C7" i="6"/>
  <c r="B7" i="6"/>
  <c r="C35" i="5"/>
  <c r="B35" i="5"/>
  <c r="C34" i="5"/>
  <c r="C36" i="5" s="1"/>
  <c r="B34" i="5"/>
  <c r="B36" i="5" s="1"/>
  <c r="C29" i="5"/>
  <c r="D29" i="5" s="1"/>
  <c r="E29" i="5" s="1"/>
  <c r="C28" i="5"/>
  <c r="D28" i="5" s="1"/>
  <c r="E28" i="5" s="1"/>
  <c r="C27" i="5"/>
  <c r="D27" i="5" s="1"/>
  <c r="E27" i="5" s="1"/>
  <c r="C26" i="5"/>
  <c r="D26" i="5" s="1"/>
  <c r="E26" i="5" s="1"/>
  <c r="C25" i="5"/>
  <c r="D25" i="5" s="1"/>
  <c r="E25" i="5" s="1"/>
  <c r="E24" i="5"/>
  <c r="D24" i="5"/>
  <c r="C24" i="5"/>
  <c r="B24" i="5"/>
  <c r="C23" i="5"/>
  <c r="D23" i="5" s="1"/>
  <c r="E23" i="5" s="1"/>
  <c r="C22" i="5"/>
  <c r="D22" i="5" s="1"/>
  <c r="E22" i="5" s="1"/>
  <c r="C21" i="5"/>
  <c r="B21" i="5"/>
  <c r="D21" i="5" s="1"/>
  <c r="E21" i="5" s="1"/>
  <c r="E30" i="5" s="1"/>
  <c r="C38" i="5" s="1"/>
  <c r="B16" i="5"/>
  <c r="E16" i="5" s="1"/>
  <c r="G16" i="5" s="1"/>
  <c r="C15" i="5"/>
  <c r="B15" i="5"/>
  <c r="E15" i="5" s="1"/>
  <c r="G15" i="5" s="1"/>
  <c r="K14" i="5"/>
  <c r="I14" i="5"/>
  <c r="C14" i="5"/>
  <c r="B14" i="5"/>
  <c r="E14" i="5" s="1"/>
  <c r="G14" i="5" s="1"/>
  <c r="B13" i="5"/>
  <c r="I13" i="5" s="1"/>
  <c r="G9" i="5"/>
  <c r="F9" i="5"/>
  <c r="D9" i="5"/>
  <c r="C9" i="5"/>
  <c r="G8" i="5"/>
  <c r="F8" i="5"/>
  <c r="D8" i="5"/>
  <c r="C8" i="5"/>
  <c r="G7" i="5"/>
  <c r="F7" i="5"/>
  <c r="D7" i="5"/>
  <c r="C7" i="5"/>
  <c r="G6" i="5"/>
  <c r="F6" i="5"/>
  <c r="D6" i="5"/>
  <c r="C6" i="5"/>
  <c r="C24" i="4"/>
  <c r="D24" i="4" s="1"/>
  <c r="E23" i="4"/>
  <c r="D23" i="4"/>
  <c r="C23" i="4"/>
  <c r="C22" i="4"/>
  <c r="E22" i="4" s="1"/>
  <c r="D21" i="4"/>
  <c r="C21" i="4"/>
  <c r="E21" i="4" s="1"/>
  <c r="C20" i="4"/>
  <c r="E20" i="4" s="1"/>
  <c r="C19" i="4"/>
  <c r="D19" i="4" s="1"/>
  <c r="F15" i="4"/>
  <c r="E15" i="4"/>
  <c r="C15" i="4"/>
  <c r="G14" i="4"/>
  <c r="F14" i="4"/>
  <c r="G13" i="4"/>
  <c r="F13" i="4"/>
  <c r="G12" i="4"/>
  <c r="F12" i="4"/>
  <c r="G11" i="4"/>
  <c r="F11" i="4"/>
  <c r="G10" i="4"/>
  <c r="F10" i="4"/>
  <c r="A6" i="4"/>
  <c r="C109" i="3"/>
  <c r="B109" i="3"/>
  <c r="C107" i="3"/>
  <c r="B106" i="3"/>
  <c r="B105" i="3"/>
  <c r="B104" i="3"/>
  <c r="C99" i="3"/>
  <c r="D99" i="3" s="1"/>
  <c r="D93" i="3"/>
  <c r="D92" i="3"/>
  <c r="D91" i="3"/>
  <c r="D85" i="3"/>
  <c r="D84" i="3"/>
  <c r="E83" i="3"/>
  <c r="D83" i="3"/>
  <c r="E82" i="3"/>
  <c r="E81" i="3"/>
  <c r="E80" i="3"/>
  <c r="E79" i="3"/>
  <c r="E78" i="3"/>
  <c r="D77" i="3"/>
  <c r="E77" i="3" s="1"/>
  <c r="E76" i="3"/>
  <c r="E75" i="3"/>
  <c r="E74" i="3"/>
  <c r="E73" i="3"/>
  <c r="E72" i="3"/>
  <c r="E71" i="3"/>
  <c r="E70" i="3"/>
  <c r="F63" i="3"/>
  <c r="F62" i="3"/>
  <c r="F61" i="3"/>
  <c r="F60" i="3"/>
  <c r="C53" i="3"/>
  <c r="B19" i="3" s="1"/>
  <c r="D52" i="3"/>
  <c r="D51" i="3"/>
  <c r="D50" i="3"/>
  <c r="E21" i="3"/>
  <c r="C18" i="3"/>
  <c r="B18" i="3"/>
  <c r="C15" i="3"/>
  <c r="B15" i="3"/>
  <c r="D15" i="3" s="1"/>
  <c r="C5" i="3"/>
  <c r="A5" i="3"/>
  <c r="C66" i="2"/>
  <c r="C18" i="2"/>
  <c r="B17" i="6" s="1"/>
  <c r="C17" i="2"/>
  <c r="C19" i="2" s="1"/>
  <c r="B18" i="6" s="1"/>
  <c r="C16" i="2"/>
  <c r="C13" i="2"/>
  <c r="C15" i="2" s="1"/>
  <c r="B40" i="6" s="1"/>
  <c r="D86" i="3" l="1"/>
  <c r="G5" i="3" s="1"/>
  <c r="E15" i="3"/>
  <c r="F59" i="3" s="1"/>
  <c r="E20" i="3"/>
  <c r="F64" i="3" s="1"/>
  <c r="G6" i="3"/>
  <c r="H80" i="9"/>
  <c r="G80" i="9"/>
  <c r="G12" i="6"/>
  <c r="B50" i="6" s="1"/>
  <c r="C35" i="6"/>
  <c r="G35" i="6" s="1"/>
  <c r="H27" i="6"/>
  <c r="D18" i="3"/>
  <c r="F18" i="3" s="1"/>
  <c r="C21" i="3"/>
  <c r="C33" i="6"/>
  <c r="H24" i="6"/>
  <c r="H28" i="6" s="1"/>
  <c r="B52" i="6" s="1"/>
  <c r="K15" i="5"/>
  <c r="D30" i="5"/>
  <c r="B38" i="5" s="1"/>
  <c r="C34" i="6"/>
  <c r="G34" i="6" s="1"/>
  <c r="H25" i="6"/>
  <c r="F40" i="6"/>
  <c r="F46" i="6" s="1"/>
  <c r="B54" i="6" s="1"/>
  <c r="C16" i="3"/>
  <c r="C20" i="3" s="1"/>
  <c r="E19" i="4"/>
  <c r="E24" i="4" s="1"/>
  <c r="I15" i="5"/>
  <c r="I17" i="5" s="1"/>
  <c r="A6" i="3"/>
  <c r="B17" i="3"/>
  <c r="D17" i="3" s="1"/>
  <c r="I16" i="5"/>
  <c r="K16" i="5" s="1"/>
  <c r="D22" i="4"/>
  <c r="B17" i="5"/>
  <c r="C13" i="5"/>
  <c r="C17" i="3"/>
  <c r="C14" i="2"/>
  <c r="C14" i="3"/>
  <c r="A5" i="4"/>
  <c r="D20" i="4"/>
  <c r="C6" i="3"/>
  <c r="E6" i="3"/>
  <c r="B20" i="3"/>
  <c r="B14" i="3"/>
  <c r="D14" i="3" s="1"/>
  <c r="B5" i="9"/>
  <c r="E5" i="3"/>
  <c r="B16" i="3"/>
  <c r="D16" i="3" s="1"/>
  <c r="F16" i="3" s="1"/>
  <c r="C19" i="3"/>
  <c r="D19" i="3" s="1"/>
  <c r="F19" i="3" s="1"/>
  <c r="D53" i="3"/>
  <c r="C16" i="5"/>
  <c r="E13" i="5"/>
  <c r="C37" i="5" l="1"/>
  <c r="C39" i="5" s="1"/>
  <c r="B37" i="5"/>
  <c r="E65" i="3"/>
  <c r="F65" i="3" s="1"/>
  <c r="F17" i="3"/>
  <c r="F14" i="3"/>
  <c r="E64" i="3"/>
  <c r="D20" i="3"/>
  <c r="F20" i="3" s="1"/>
  <c r="F15" i="3"/>
  <c r="G15" i="3" s="1"/>
  <c r="G16" i="3" s="1"/>
  <c r="B55" i="6"/>
  <c r="D55" i="6" s="1"/>
  <c r="G13" i="5"/>
  <c r="E17" i="5"/>
  <c r="C17" i="5"/>
  <c r="C56" i="6" l="1"/>
  <c r="C60" i="6"/>
  <c r="K13" i="5"/>
  <c r="K17" i="5" s="1"/>
  <c r="G17" i="5"/>
  <c r="D50" i="6"/>
  <c r="D51" i="6"/>
  <c r="G17" i="3"/>
  <c r="G18" i="3" s="1"/>
  <c r="G19" i="3" s="1"/>
  <c r="G20" i="3" s="1"/>
  <c r="D54" i="6"/>
  <c r="B60" i="6"/>
  <c r="B39" i="5"/>
  <c r="D37" i="5"/>
  <c r="E37" i="5"/>
  <c r="D52" i="6"/>
  <c r="D53" i="6"/>
  <c r="B6" i="9" l="1"/>
  <c r="D6" i="4"/>
  <c r="D5" i="4"/>
  <c r="G5" i="4"/>
  <c r="D39" i="5"/>
  <c r="E39" i="5"/>
  <c r="B61" i="6"/>
  <c r="G6" i="4"/>
  <c r="B62" i="6"/>
  <c r="J6" i="4"/>
  <c r="B7" i="9"/>
  <c r="J5" i="4"/>
  <c r="D67" i="9" l="1"/>
  <c r="D74" i="9"/>
  <c r="D70" i="9"/>
  <c r="D66" i="9"/>
  <c r="D62" i="9"/>
  <c r="D58" i="9"/>
  <c r="D54" i="9"/>
  <c r="D50" i="9"/>
  <c r="D46" i="9"/>
  <c r="D42" i="9"/>
  <c r="D38" i="9"/>
  <c r="D34" i="9"/>
  <c r="D30" i="9"/>
  <c r="D52" i="9"/>
  <c r="D75" i="9"/>
  <c r="D63" i="9"/>
  <c r="D55" i="9"/>
  <c r="D47" i="9"/>
  <c r="D39" i="9"/>
  <c r="D31" i="9"/>
  <c r="D72" i="9"/>
  <c r="D60" i="9"/>
  <c r="D56" i="9"/>
  <c r="D48" i="9"/>
  <c r="D44" i="9"/>
  <c r="D40" i="9"/>
  <c r="D36" i="9"/>
  <c r="D32" i="9"/>
  <c r="D71" i="9"/>
  <c r="D59" i="9"/>
  <c r="D51" i="9"/>
  <c r="D43" i="9"/>
  <c r="D35" i="9"/>
  <c r="D64" i="9"/>
  <c r="D73" i="9"/>
  <c r="D69" i="9"/>
  <c r="D65" i="9"/>
  <c r="D61" i="9"/>
  <c r="D57" i="9"/>
  <c r="D53" i="9"/>
  <c r="D49" i="9"/>
  <c r="D45" i="9"/>
  <c r="D41" i="9"/>
  <c r="D37" i="9"/>
  <c r="D33" i="9"/>
  <c r="D29" i="9"/>
  <c r="D76" i="9"/>
  <c r="D68" i="9"/>
  <c r="E59" i="9"/>
  <c r="E40" i="9"/>
  <c r="E38" i="9"/>
  <c r="E71" i="9"/>
  <c r="E51" i="9"/>
  <c r="B9" i="9"/>
  <c r="C12" i="9" s="1"/>
  <c r="E39" i="9"/>
  <c r="E69" i="9"/>
  <c r="E65" i="9"/>
  <c r="E76" i="9"/>
  <c r="E61" i="9"/>
  <c r="E70" i="9"/>
  <c r="E62" i="9"/>
  <c r="E60" i="9"/>
  <c r="E54" i="9"/>
  <c r="E55" i="9"/>
  <c r="E36" i="9"/>
  <c r="E34" i="9"/>
  <c r="E32" i="9"/>
  <c r="E75" i="9"/>
  <c r="E57" i="9"/>
  <c r="E53" i="9"/>
  <c r="E64" i="9"/>
  <c r="E49" i="9"/>
  <c r="E50" i="9"/>
  <c r="E67" i="9"/>
  <c r="E48" i="9"/>
  <c r="E46" i="9"/>
  <c r="E33" i="9"/>
  <c r="E30" i="9"/>
  <c r="E58" i="9"/>
  <c r="E44" i="9"/>
  <c r="E47" i="9"/>
  <c r="E35" i="9"/>
  <c r="E73" i="9"/>
  <c r="E43" i="9"/>
  <c r="E74" i="9"/>
  <c r="E66" i="9"/>
  <c r="E45" i="9"/>
  <c r="E68" i="9"/>
  <c r="E31" i="9"/>
  <c r="E72" i="9"/>
  <c r="E56" i="9"/>
  <c r="E41" i="9"/>
  <c r="E52" i="9"/>
  <c r="E37" i="9"/>
  <c r="E63" i="9"/>
  <c r="E42" i="9"/>
  <c r="E29" i="9"/>
  <c r="B63" i="6"/>
  <c r="B64" i="6"/>
  <c r="D82" i="9" l="1"/>
  <c r="G82" i="9"/>
  <c r="E82" i="9"/>
  <c r="D81" i="9"/>
  <c r="D85" i="9" s="1"/>
  <c r="G81" i="9"/>
  <c r="E81" i="9"/>
  <c r="D83" i="9"/>
  <c r="G83" i="9"/>
  <c r="E83" i="9"/>
  <c r="D84" i="9"/>
  <c r="G84" i="9"/>
  <c r="E84" i="9"/>
  <c r="B12" i="9"/>
  <c r="F76" i="9"/>
  <c r="F72" i="9"/>
  <c r="F68" i="9"/>
  <c r="F64" i="9"/>
  <c r="F60" i="9"/>
  <c r="F56" i="9"/>
  <c r="F52" i="9"/>
  <c r="F48" i="9"/>
  <c r="F44" i="9"/>
  <c r="F40" i="9"/>
  <c r="F36" i="9"/>
  <c r="F32" i="9"/>
  <c r="F47" i="9"/>
  <c r="F63" i="9"/>
  <c r="F75" i="9"/>
  <c r="F71" i="9"/>
  <c r="F67" i="9"/>
  <c r="F59" i="9"/>
  <c r="F35" i="9"/>
  <c r="F74" i="9"/>
  <c r="F70" i="9"/>
  <c r="F66" i="9"/>
  <c r="F62" i="9"/>
  <c r="F58" i="9"/>
  <c r="F54" i="9"/>
  <c r="F50" i="9"/>
  <c r="F46" i="9"/>
  <c r="F42" i="9"/>
  <c r="F38" i="9"/>
  <c r="F34" i="9"/>
  <c r="F30" i="9"/>
  <c r="F51" i="9"/>
  <c r="F73" i="9"/>
  <c r="F69" i="9"/>
  <c r="F65" i="9"/>
  <c r="F61" i="9"/>
  <c r="F57" i="9"/>
  <c r="F53" i="9"/>
  <c r="F49" i="9"/>
  <c r="F45" i="9"/>
  <c r="F41" i="9"/>
  <c r="F37" i="9"/>
  <c r="F33" i="9"/>
  <c r="F29" i="9"/>
  <c r="F31" i="9"/>
  <c r="F39" i="9"/>
  <c r="F43" i="9"/>
  <c r="F55" i="9"/>
  <c r="H29" i="9"/>
  <c r="H30" i="9" s="1"/>
  <c r="H31" i="9" s="1"/>
  <c r="H32" i="9" s="1"/>
  <c r="H33" i="9" s="1"/>
  <c r="H34" i="9" s="1"/>
  <c r="H35" i="9" s="1"/>
  <c r="H36" i="9" s="1"/>
  <c r="H37" i="9" s="1"/>
  <c r="H38" i="9" s="1"/>
  <c r="H39" i="9" s="1"/>
  <c r="H40" i="9" s="1"/>
  <c r="H41" i="9" s="1"/>
  <c r="H42" i="9" s="1"/>
  <c r="H43" i="9" s="1"/>
  <c r="H44" i="9" s="1"/>
  <c r="H45" i="9" s="1"/>
  <c r="H46" i="9" s="1"/>
  <c r="H47" i="9" s="1"/>
  <c r="H48" i="9" s="1"/>
  <c r="H49" i="9" s="1"/>
  <c r="H50" i="9" s="1"/>
  <c r="H51" i="9" s="1"/>
  <c r="H52" i="9" s="1"/>
  <c r="H53" i="9" s="1"/>
  <c r="H54" i="9" s="1"/>
  <c r="H55" i="9" s="1"/>
  <c r="H56" i="9" s="1"/>
  <c r="H57" i="9" s="1"/>
  <c r="H58" i="9" s="1"/>
  <c r="H59" i="9" s="1"/>
  <c r="H60" i="9" s="1"/>
  <c r="H61" i="9" s="1"/>
  <c r="H62" i="9" s="1"/>
  <c r="H63" i="9" s="1"/>
  <c r="H64" i="9" s="1"/>
  <c r="H65" i="9" s="1"/>
  <c r="H66" i="9" s="1"/>
  <c r="H67" i="9" s="1"/>
  <c r="H68" i="9" s="1"/>
  <c r="H69" i="9" s="1"/>
  <c r="H70" i="9" s="1"/>
  <c r="H71" i="9" s="1"/>
  <c r="H72" i="9" s="1"/>
  <c r="H73" i="9" s="1"/>
  <c r="H74" i="9" s="1"/>
  <c r="H75" i="9" s="1"/>
  <c r="H76" i="9" s="1"/>
  <c r="G85" i="9" l="1"/>
  <c r="H81" i="9"/>
  <c r="E85" i="9"/>
  <c r="H82" i="9" l="1"/>
  <c r="H83" i="9" s="1"/>
  <c r="H84" i="9" s="1"/>
  <c r="B65" i="6"/>
  <c r="H85" i="9" l="1"/>
  <c r="B66" i="6"/>
</calcChain>
</file>

<file path=xl/sharedStrings.xml><?xml version="1.0" encoding="utf-8"?>
<sst xmlns="http://schemas.openxmlformats.org/spreadsheetml/2006/main" count="1961" uniqueCount="1429">
  <si>
    <t>HUBSTOR → AWS S3 MIGRATION  |  KEY ASSUMPTIONS &amp; CAVEATS</t>
  </si>
  <si>
    <t>These assumptions must be reviewed and validated before the migration programme is formally approved. Any change to these assumptions may materially affect costs, timelines, or feasibility.</t>
  </si>
  <si>
    <t>BUSINESS &amp; SCOPE ASSUMPTIONS</t>
  </si>
  <si>
    <t>#</t>
  </si>
  <si>
    <t>Assumption</t>
  </si>
  <si>
    <t>Detail &amp; Implication</t>
  </si>
  <si>
    <t>Status / Action Required</t>
  </si>
  <si>
    <t>A1</t>
  </si>
  <si>
    <t>HubStor advanced features NOT included in new architecture</t>
  </si>
  <si>
    <t>We have NOT replicated HubStor-specific features such as content indexing, advanced discovery, legal hold workflow, or smart tiering intelligence. These are excluded because it is currently UNKNOWN whether these features are actively used by any CRL site or user. If any site relies on these features, additional tooling (e.g. AWS OpenSearch, Elasticsearch, or a third-party discovery layer) would need to be scoped and costed separately.</t>
  </si>
  <si>
    <t>⚠  Validate with site leads before migration start</t>
  </si>
  <si>
    <t>A2</t>
  </si>
  <si>
    <t>Discovery sites: potential divestitures not modelled</t>
  </si>
  <si>
    <t>Several Discovery sites (LEI, HER, GRO, KUO, SZG, FRE, LYO, EVR and others) may be subject to divestiture. This analysis is based on CURRENT usage and storage volumes across all sites. If sites are divested, storage volumes and costs will reduce — meaning our AWS cost will be LOWER than modelled, and savings will be HIGHER. No downside risk from divestitures. If divestitures happen mid-migration, adjust the relevant gateway and S3 bucket accordingly.</t>
  </si>
  <si>
    <t>✅  Conservative (upside only if divestitures occur)</t>
  </si>
  <si>
    <t>A3</t>
  </si>
  <si>
    <t>Contractual obligations &amp; data retention policy not yet verified</t>
  </si>
  <si>
    <t>We have assumed a 6-month migration window (Jul–Dec 2026) and HubStor termination from Jan 2027. HOWEVER: HubStor's contract notice period, any early termination penalties, and site-specific data retention policies (e.g. regulatory holds, litigation hold) have NOT been formally reviewed. These may affect: (1) the earliest possible HubStor termination date, (2) which data can be deleted from Azure and when, and (3) minimum retention periods before data can be moved. Legal and compliance review MUST be completed before finalising the migration schedule.</t>
  </si>
  <si>
    <t>🔴  CRITICAL — Legal/Compliance review required BEFORE approval</t>
  </si>
  <si>
    <t>A4</t>
  </si>
  <si>
    <t>HubStor not used for regulated / validated GxP systems</t>
  </si>
  <si>
    <t>This analysis assumes HubStor does not hold data from GxP-regulated or computer-system-validated environments. If HubStor IS used as part of a validated system (e.g. LIMS, ELN, laboratory instrument data), then: (1) migration must follow a validated CSV/change control process, (2) IQ/OQ/PQ testing may be required, (3) migration timelines will extend significantly, and (4) QA/Regulatory sign-off is mandatory before cutover. Please confirm with QA, Regulatory, and IT Compliance that no validated systems write to HubStor.</t>
  </si>
  <si>
    <t>🔴  CRITICAL — QA/Regulatory confirmation required</t>
  </si>
  <si>
    <t>A5</t>
  </si>
  <si>
    <t>All migration work performed by CRL internal resources (no external vendor)</t>
  </si>
  <si>
    <t>The cost model includes ZERO external vendor or consultancy fees. All activities — AWS account setup, IAM configuration, Storage Gateway installation, DataSync migration jobs, connector testing, validation, and HubStor decommission — are assumed to be executed by CRL's internal Cloud/IT team. If external resource is required (e.g. AWS Professional Services, system integrator, or HubStor migration support), an additional cost of $50K–$150K should be budgeted. Internal resource time has not been separately costed (opportunity cost only).</t>
  </si>
  <si>
    <t>⚠  Confirm internal resource availability before commitment</t>
  </si>
  <si>
    <t>A6</t>
  </si>
  <si>
    <t>Azure Backup &amp; DataBox: $3,000/mo additional charge included</t>
  </si>
  <si>
    <t>An additional $3,000/month Azure charge for Backup services and DataBox has been identified and IS included in this analysis as a separate line item in the current cost. This charge ceases when Azure is fully decommissioned (Dec 2026). It increases the true current Azure cost baseline and therefore increases the monthly saving.</t>
  </si>
  <si>
    <t>✅  Included in cost model — verified $3,000/mo</t>
  </si>
  <si>
    <t>A7</t>
  </si>
  <si>
    <t>AWS costs held flat for Year 1 (2027); 5% growth from Year 2 (2028)</t>
  </si>
  <si>
    <t>AWS storage and infrastructure pricing is assumed constant in 2027 (no growth). From 2028 onwards, data volume grows at 5% per year (conservative), increasing S3 storage costs. AWS list prices are not assumed to increase. Gateway appliance cost is amortised over 36 months.</t>
  </si>
  <si>
    <t>✅  Conservative growth assumption</t>
  </si>
  <si>
    <t>A8</t>
  </si>
  <si>
    <t>Storage Gateway: File Gateway VM on EC2 t3.xlarge (recurring $130/mo/site)</t>
  </si>
  <si>
    <t>AWS S3 File Gateway VM runs on EC2 t3.xlarge at each of the 5 sites ($130/mo/site = $650/mo total). This is a RECURRING monthly cost from the moment the Gateway goes live during migration. Gateway presents NFS/SMB file shares to applications, replacing HubStor connectors permanently. AWS Total post-migration = S3 $3,608 + Gateway EC2 $650 + ops $238 = $4,496/mo.</t>
  </si>
  <si>
    <t>✅  EC2 Gateway $650/mo — recurring post-migration. AWS Total = $4,496/mo</t>
  </si>
  <si>
    <t>A9</t>
  </si>
  <si>
    <t>HubStor costs based on Azure Blob Storage charges (from Master Report v5)</t>
  </si>
  <si>
    <t>The HubStor cost model uses actuals from HubStor Master Report v5. Monthly HubStor Azure Blob Storage charges = $26,455.17/mo across 5 regions. Azure Backup/DataBox = $3,000/mo. Total current baseline = $29,455.17/mo.</t>
  </si>
  <si>
    <t>✅  Confirmed — actuals from HubStor Master Report v5</t>
  </si>
  <si>
    <t>MONEY STEP — WHAT WE ARE CHANGING AND HOW SAVINGS WILL BE MEASURED</t>
  </si>
  <si>
    <t>WHAT WE ARE SPECIFICALLY CHANGING:  CRL currently pays $29,455/month ($353,462/year) for HubStor Azure Blob Storage ($26,455/mo) and Azure Backup/DataBox ($3,000/mo) to store 1,041.7 TiB of scientific and regulatory data across 5 Azure regions. This project migrates all data to AWS S3 using AWS S3 File Gateway (EC2 t3.xlarge at each site presenting NFS/SMB shares to applications), terminates the HubStor subscription, and decommissions all Azure Blob storage. The change replaces a recurring managed SaaS storage platform with directly-managed cloud object storage at $4,496/month — a saving of $24,959/month from January 2027.</t>
  </si>
  <si>
    <t>HOW SUCCESS WILL BE TRACKED AND MEASURED:  (1) MONTHLY COST REDUCTION — AWS bill confirmed below $4,500/month (vs current $29,455/mo) from January 2027 onwards, verified through AWS Cost Explorer and monthly finance reporting. (2) HUBSTOR INVOICE TO $0 — HubStor subscription invoice confirmed as $0 from January 2027, evidenced by contract termination confirmation and final billing statement. (3) PAYBACK ACHIEVED — Net cumulative saving turns positive within ~5 months of migration completion, tracked in the Financial Model Net Cumulative Saving column. (4) DATA INTEGRITY VERIFIED — 100% object count match between HubStor export and S3 inventory confirmed before each site cutover, documented in the migration runbook sign-off. (5) 4-YEAR BENEFIT — Projected net saving of ~$1.08M over 4 years (Jan 2027–Dec 2030) against the one-time migration investment of ~$121,000, representing an 84.7% cost reduction.</t>
  </si>
  <si>
    <t>BENEFIT SUMMARY:  Monthly saving = $24,959/mo (84.7% cost reduction)  |  Annual saving = $299,508/yr  |  One-time migration cost ≈ $121,000  |  Payback ≈ 5 months from Jan 2027  |  4-Year net saving ≈ $1.08M</t>
  </si>
  <si>
    <t>This document is prepared for internal CRL review only. Costs are estimates based on published list pricing as of Q1 2026 and actual HubStor Master Report data. Final costs subject to AWS contract negotiations, Wasabi quote, and HubStor termination terms. Not for external distribution.</t>
  </si>
  <si>
    <t>CENTRAL ASSUMPTIONS — ALL INPUTS IN ONE PLACE</t>
  </si>
  <si>
    <t>Yellow = hardcoded inputs (change here) | All other sheets reference these cells | Black text = formula | Blue text = linked input</t>
  </si>
  <si>
    <t>STORAGE VOLUMES (from HubStor Master Report v5)</t>
  </si>
  <si>
    <t>Parameter</t>
  </si>
  <si>
    <t>Cell Ref</t>
  </si>
  <si>
    <t>Value</t>
  </si>
  <si>
    <t>Unit</t>
  </si>
  <si>
    <t>Source / Notes</t>
  </si>
  <si>
    <t>Standard tier GiB</t>
  </si>
  <si>
    <t>GiB</t>
  </si>
  <si>
    <t>HubStor Master Report v5 actuals</t>
  </si>
  <si>
    <t>Hot tier GiB</t>
  </si>
  <si>
    <t>Cool tier GiB</t>
  </si>
  <si>
    <t>Cold tier GiB</t>
  </si>
  <si>
    <t>Archive tier GiB</t>
  </si>
  <si>
    <t>A10</t>
  </si>
  <si>
    <t>GiB → GB conversion factor</t>
  </si>
  <si>
    <t>A11</t>
  </si>
  <si>
    <t>×</t>
  </si>
  <si>
    <t>1 GiB = 1.074 GB (decimal)</t>
  </si>
  <si>
    <t>GiB per TiB (divisor)</t>
  </si>
  <si>
    <t>A12</t>
  </si>
  <si>
    <t>÷</t>
  </si>
  <si>
    <t>1 TiB = 1024 GiB</t>
  </si>
  <si>
    <t>Total GiB (all tiers)</t>
  </si>
  <si>
    <t>A13</t>
  </si>
  <si>
    <t>Sum of all five tiers</t>
  </si>
  <si>
    <t>Total TiB</t>
  </si>
  <si>
    <t>A14</t>
  </si>
  <si>
    <t>TiB</t>
  </si>
  <si>
    <t>Total GiB ÷ 1,024</t>
  </si>
  <si>
    <t>Total GB (decimal)</t>
  </si>
  <si>
    <t>A15</t>
  </si>
  <si>
    <t>GB</t>
  </si>
  <si>
    <t>Total GiB × 1.074 (for Azure/AWS pricing which uses decimal GB)</t>
  </si>
  <si>
    <t>US region GiB</t>
  </si>
  <si>
    <t>A16</t>
  </si>
  <si>
    <t>EastUS2 + WestUS2 (from Master Report)</t>
  </si>
  <si>
    <t>EU region GiB</t>
  </si>
  <si>
    <t>A17</t>
  </si>
  <si>
    <t>UKSouth + WestEurope + GermanyWestCentral</t>
  </si>
  <si>
    <t>US region GB</t>
  </si>
  <si>
    <t>A18</t>
  </si>
  <si>
    <t>US GiB × 1.074</t>
  </si>
  <si>
    <t>EU region GB</t>
  </si>
  <si>
    <t>A19</t>
  </si>
  <si>
    <t>EU GiB × 1.074</t>
  </si>
  <si>
    <t>AZURE / HUBSTOR PRICING</t>
  </si>
  <si>
    <t>Azure Standard/Hot $/GB/mo</t>
  </si>
  <si>
    <t>A23</t>
  </si>
  <si>
    <t>$/GB/mo</t>
  </si>
  <si>
    <t>Azure Blob Standard pricing (public)</t>
  </si>
  <si>
    <t>Azure Cool $/GB/mo</t>
  </si>
  <si>
    <t>A24</t>
  </si>
  <si>
    <t>Azure Blob Cool tier</t>
  </si>
  <si>
    <t>Azure Cold $/GB/mo</t>
  </si>
  <si>
    <t>A25</t>
  </si>
  <si>
    <t>Azure Blob Cold tier</t>
  </si>
  <si>
    <t>Azure Archive $/GB/mo</t>
  </si>
  <si>
    <t>A26</t>
  </si>
  <si>
    <t>Azure Blob Archive tier</t>
  </si>
  <si>
    <t>Azure Cool retrieval $/GB</t>
  </si>
  <si>
    <t>A28</t>
  </si>
  <si>
    <t>$/GB</t>
  </si>
  <si>
    <t>Azure Blob Cool read charge</t>
  </si>
  <si>
    <t>Azure Cold retrieval $/GB</t>
  </si>
  <si>
    <t>A29</t>
  </si>
  <si>
    <t>Azure Blob Cold read charge</t>
  </si>
  <si>
    <t>Azure Archive rehydration $/GB</t>
  </si>
  <si>
    <t>A30</t>
  </si>
  <si>
    <t>Standard rehydration priority (~15hr wait)</t>
  </si>
  <si>
    <t>Azure egress tier1 $/GB</t>
  </si>
  <si>
    <t>A31</t>
  </si>
  <si>
    <t>0–10 TB internet egress</t>
  </si>
  <si>
    <t>Azure egress tier2 $/GB</t>
  </si>
  <si>
    <t>A32</t>
  </si>
  <si>
    <t>10–50 TB internet egress</t>
  </si>
  <si>
    <t>Azure egress tier3 $/GB</t>
  </si>
  <si>
    <t>A33</t>
  </si>
  <si>
    <t>50–150 TB internet egress</t>
  </si>
  <si>
    <t>Azure egress tier4 $/GB</t>
  </si>
  <si>
    <t>A34</t>
  </si>
  <si>
    <t>&gt;150 TB internet egress</t>
  </si>
  <si>
    <t>AWS PRICING</t>
  </si>
  <si>
    <t>S3 Standard $/GB/mo (US)</t>
  </si>
  <si>
    <t>A38</t>
  </si>
  <si>
    <t>AWS us-east-1 list price 2026</t>
  </si>
  <si>
    <t>S3 Standard $/GB/mo (EU)</t>
  </si>
  <si>
    <t>A39</t>
  </si>
  <si>
    <t>AWS EU regions list price</t>
  </si>
  <si>
    <t>S3 Standard-IA $/GB/mo (US)</t>
  </si>
  <si>
    <t>A40</t>
  </si>
  <si>
    <t>AWS Standard-IA storage rate</t>
  </si>
  <si>
    <t>S3 Standard-IA $/GB/mo (EU)</t>
  </si>
  <si>
    <t>A41</t>
  </si>
  <si>
    <t>AWS EU Standard-IA</t>
  </si>
  <si>
    <t>S3 Glacier IR $/GB/mo (US)</t>
  </si>
  <si>
    <t>A42</t>
  </si>
  <si>
    <t>Glacier Instant Retrieval</t>
  </si>
  <si>
    <t>S3 Glacier IR $/GB/mo (EU)</t>
  </si>
  <si>
    <t>A43</t>
  </si>
  <si>
    <t>Glacier IR EU</t>
  </si>
  <si>
    <t>S3 Glacier Deep Archive $/GB/mo (US)</t>
  </si>
  <si>
    <t>A44</t>
  </si>
  <si>
    <t>Glacier Deep Archive (cheapest tier)</t>
  </si>
  <si>
    <t>S3 Glacier Deep Archive $/GB/mo (EU)</t>
  </si>
  <si>
    <t>A45</t>
  </si>
  <si>
    <t>Glacier Deep Archive EU</t>
  </si>
  <si>
    <t>S3 Standard PUT $/1K requests</t>
  </si>
  <si>
    <t>A46</t>
  </si>
  <si>
    <t>$/1K</t>
  </si>
  <si>
    <t>PUT/COPY/POST/LIST Standard</t>
  </si>
  <si>
    <t>S3 Standard-IA PUT $/1K requests</t>
  </si>
  <si>
    <t>A47</t>
  </si>
  <si>
    <t>IA has higher PUT rate</t>
  </si>
  <si>
    <t>S3 Glacier Deep Archive PUT $/1K</t>
  </si>
  <si>
    <t>A48</t>
  </si>
  <si>
    <t>10× Standard — file size matters</t>
  </si>
  <si>
    <t>S3 API operations overhead %</t>
  </si>
  <si>
    <t>A49</t>
  </si>
  <si>
    <t>%</t>
  </si>
  <si>
    <t>Estimated ongoing API/request costs as % of storage (conservative)</t>
  </si>
  <si>
    <t>Glacier Deep Archive retrieval $/GB</t>
  </si>
  <si>
    <t>A50</t>
  </si>
  <si>
    <t>Data retrieval fee from Deep Archive</t>
  </si>
  <si>
    <t>S3 egress to internet $/GB (first 10TB)</t>
  </si>
  <si>
    <t>A51</t>
  </si>
  <si>
    <t>S3 outbound data transfer</t>
  </si>
  <si>
    <t>File Gateway VM EC2 instance $/mo per site (t3.xlarge, recurring post-migration)</t>
  </si>
  <si>
    <t>A52</t>
  </si>
  <si>
    <t>$/mo/site</t>
  </si>
  <si>
    <t>EC2 t3.xlarge (~$0.1664/hr) hosts the AWS S3 File Gateway VM software at each site. Recurring monthly cost: $130/mo × 5 sites = $650/mo. This is the compute cost to run the Gateway; S3 storage is separate. Alternative if CRL's existing on-prem server is used: change to $0 and add EBS disk cost only.</t>
  </si>
  <si>
    <t>S3 Transfer Acceleration $/mo (set 0 if not used)</t>
  </si>
  <si>
    <t>A53</t>
  </si>
  <si>
    <t>$/mo</t>
  </si>
  <si>
    <t>Transfer Acceleration adds speed for global uploads; set $0 for archive-only workload</t>
  </si>
  <si>
    <t>Number of gateway sites</t>
  </si>
  <si>
    <t>A54</t>
  </si>
  <si>
    <t>sites</t>
  </si>
  <si>
    <t>5 distinct sites: US-East, US-West, UK, NL/EU, DE</t>
  </si>
  <si>
    <t>CloudWatch $/mo</t>
  </si>
  <si>
    <t>A55</t>
  </si>
  <si>
    <t>Dashboards + custom metrics + alarms + log groups</t>
  </si>
  <si>
    <t>KMS key $/mo per key</t>
  </si>
  <si>
    <t>A56</t>
  </si>
  <si>
    <t>AWS KMS CMK; 1 per region = 5 keys</t>
  </si>
  <si>
    <t>Number of KMS keys</t>
  </si>
  <si>
    <t>A57</t>
  </si>
  <si>
    <t>keys</t>
  </si>
  <si>
    <t>One per AWS region</t>
  </si>
  <si>
    <t>SNS alerts $/mo</t>
  </si>
  <si>
    <t>A58</t>
  </si>
  <si>
    <t>Notification topics for cost/health alerts</t>
  </si>
  <si>
    <t>AWS Config $/mo</t>
  </si>
  <si>
    <t>A59</t>
  </si>
  <si>
    <t>Compliance rule evaluation</t>
  </si>
  <si>
    <t>S3 ongoing API operations $/mo</t>
  </si>
  <si>
    <t>A60</t>
  </si>
  <si>
    <t>PUT new archive data + GET requests monthly</t>
  </si>
  <si>
    <t>Glacier retrieval $/mo (est.)</t>
  </si>
  <si>
    <t>A61</t>
  </si>
  <si>
    <t>0.5% of 862 TiB archive retrieved monthly × $0.02/GB</t>
  </si>
  <si>
    <t>S3 egress internet $/mo (est.)</t>
  </si>
  <si>
    <t>A62</t>
  </si>
  <si>
    <t>~10% of retrieved data goes to internet</t>
  </si>
  <si>
    <t>AWS DataSync $/GB scanned</t>
  </si>
  <si>
    <t>A63</t>
  </si>
  <si>
    <t>One-time migration only</t>
  </si>
  <si>
    <t>Annual data growth rate</t>
  </si>
  <si>
    <t>A64</t>
  </si>
  <si>
    <t>5% YoY assumption for financial model</t>
  </si>
  <si>
    <t>HubStor monthly cost (actuals from Master Report v5)</t>
  </si>
  <si>
    <t>A65</t>
  </si>
  <si>
    <t>Actuals from HubStor Master Report v5 — Azure Blob Storage charges across 5 regions</t>
  </si>
  <si>
    <t>Azure Backup &amp; DataBox monthly charge</t>
  </si>
  <si>
    <t>A66</t>
  </si>
  <si>
    <t>Additional Azure charge for Backup services + DataBox. Ceases from Jan 2027 when Azure fully decommissioned.</t>
  </si>
  <si>
    <t>TOTAL current Azure + HubStor monthly (incl. Backup/DataBox)</t>
  </si>
  <si>
    <t>A67</t>
  </si>
  <si>
    <t>HubStor Azure Blob $26,455.17 + Azure Backup/DataBox $3,000 = $29,455.17/mo total</t>
  </si>
  <si>
    <t>HUBSTOR → AWS S3  |  REVISED SCOPE BUSINESS CASE  |  Discovery → Vendor  |  AWS Arivis Decommission</t>
  </si>
  <si>
    <t>Prepared for Internal Review  |  Revised Scope: Discovery sites + Arivis to vendor  |  Non-Discovery to AWS S3  |  March 2026</t>
  </si>
  <si>
    <t>REVISED CURRENT TOTAL
(HubStor + Backup + Arivis)</t>
  </si>
  <si>
    <t>SCOPE SPLIT  —  What goes where</t>
  </si>
  <si>
    <t>DISCOVERY  →  NEW VENDOR PLATFORM
753.6 TiB  |  WestEurope + GermanyWC + UKSouth (Discovery)
LEI, HER, GRO, KUO, SZG, FRE, LYO, EVR · FRI · CRP, HAR, PTH
AWS Arivis ($12,000/mo) also transferred to vendor</t>
  </si>
  <si>
    <t>NON-DISCOVERY  →  AWS S3  (as originally planned)
288.1 TiB  |  EastUS2 + WestUS2 + UKSouth Safety Assessment
MWN, WLM · RNO · EDI  |  3 × File Gateway EC2 t3.xlarge
AWS Total = $1,626/mo  (S3 $998 + Gateway $390 + ops $238)</t>
  </si>
  <si>
    <t>ROI &amp; 5-YEAR SAVINGS  (AWS workstream — confirmed figures; vendor saving is additive)</t>
  </si>
  <si>
    <t>Confirmed AWS savings only shown below. Discovery/Arivis vendor savings will ADD to these figures once vendor is selected.</t>
  </si>
  <si>
    <t>Period</t>
  </si>
  <si>
    <t>Current Cost</t>
  </si>
  <si>
    <t>AWS Post-Mig Cost</t>
  </si>
  <si>
    <t>Gross AWS Saving</t>
  </si>
  <si>
    <t>One-Time Cost</t>
  </si>
  <si>
    <t>Net AWS Saving</t>
  </si>
  <si>
    <t>Cumulative Net</t>
  </si>
  <si>
    <t>Notes</t>
  </si>
  <si>
    <t>Monthly (Jan 2027+)</t>
  </si>
  <si>
    <t>—</t>
  </si>
  <si>
    <t>Monthly AWS saving. Vendor TBD (additive).</t>
  </si>
  <si>
    <t>Year 1 (2027)</t>
  </si>
  <si>
    <t>AWS one-time deducted in Year 1.</t>
  </si>
  <si>
    <t>Year 2 (2028)</t>
  </si>
  <si>
    <t>0</t>
  </si>
  <si>
    <t>AWS +5%/yr from Year 2.</t>
  </si>
  <si>
    <t>Year 3 (2029)</t>
  </si>
  <si>
    <t>Year 4 (2030)</t>
  </si>
  <si>
    <t>Year 5 (2031)</t>
  </si>
  <si>
    <t>5-YEAR TOTAL</t>
  </si>
  <si>
    <t>5-year net (AWS). Vendor saving additional.</t>
  </si>
  <si>
    <t>Payback — AWS workstream</t>
  </si>
  <si>
    <t>VENDOR COST SENSITIVITY  —  Total saving at different vendor monthly costs (753 TiB Discovery + Arivis)</t>
  </si>
  <si>
    <t>Vendor monthly</t>
  </si>
  <si>
    <t>$4,000/mo</t>
  </si>
  <si>
    <t>$1,626/mo</t>
  </si>
  <si>
    <t>$5,626/mo</t>
  </si>
  <si>
    <t>$35,829/mo</t>
  </si>
  <si>
    <t>86.4%</t>
  </si>
  <si>
    <t>~3.2 mo</t>
  </si>
  <si>
    <t>Best case — aggressive discount</t>
  </si>
  <si>
    <t>$6,000/mo</t>
  </si>
  <si>
    <t>$7,626/mo</t>
  </si>
  <si>
    <t>$33,829/mo</t>
  </si>
  <si>
    <t>81.6%</t>
  </si>
  <si>
    <t>~3.4 mo</t>
  </si>
  <si>
    <t>Optimistic — below HubStor EU rate</t>
  </si>
  <si>
    <t>$8,000/mo</t>
  </si>
  <si>
    <t>$9,626/mo</t>
  </si>
  <si>
    <t>$31,829/mo</t>
  </si>
  <si>
    <t>76.8%</t>
  </si>
  <si>
    <t>~3.6 mo</t>
  </si>
  <si>
    <t>Base case — reasonable SaaS rate</t>
  </si>
  <si>
    <t>$10,000/mo</t>
  </si>
  <si>
    <t>$11,626/mo</t>
  </si>
  <si>
    <t>$29,829/mo</t>
  </si>
  <si>
    <t>72.0%</t>
  </si>
  <si>
    <t>~3.9 mo</t>
  </si>
  <si>
    <t>Conservative — market rate</t>
  </si>
  <si>
    <t>$12,000/mo</t>
  </si>
  <si>
    <t>$13,626/mo</t>
  </si>
  <si>
    <t>$27,829/mo</t>
  </si>
  <si>
    <t>67.1%</t>
  </si>
  <si>
    <t>~4.2 mo</t>
  </si>
  <si>
    <t>Break-even — matches Arivis cost alone</t>
  </si>
  <si>
    <t>$15,000/mo</t>
  </si>
  <si>
    <t>$16,626/mo</t>
  </si>
  <si>
    <t>$24,829/mo</t>
  </si>
  <si>
    <t>59.9%</t>
  </si>
  <si>
    <t>~4.7 mo</t>
  </si>
  <si>
    <t>Downside — higher than expected</t>
  </si>
  <si>
    <t>▼   DETAILED COST BREAKDOWN — Sections 1–6 below  (scroll down for full itemised costs)</t>
  </si>
  <si>
    <t>REVISED SCOPE ESTIMATE  —  Discovery Sites to Vendor  |  Non-Discovery to AWS S3  |  AWS Arivis Decommission</t>
  </si>
  <si>
    <t>SCOPE CHANGE: (1) All Discovery sites decommissioned from HubStor/Azure and transferred to new vendor platform.  (2) Non-Discovery sites (US + UK Safety Assessment) migrate to AWS S3 as originally planned.  (3) AWS Arivis ($12,000/mo) decommissioned and transferred to vendor platform.  This estimate covers all three workstreams.</t>
  </si>
  <si>
    <t>SECTION 1  —  CURRENT MONTHLY COSTS  (Revised Baseline incl. AWS Arivis)</t>
  </si>
  <si>
    <t>Cost Item</t>
  </si>
  <si>
    <t>Monthly ($)</t>
  </si>
  <si>
    <t>Annual ($)</t>
  </si>
  <si>
    <t>1</t>
  </si>
  <si>
    <t>HubStor Azure Blob Storage (all sites, actuals from Master Report v5)</t>
  </si>
  <si>
    <t>Storage-only costs across 5 Azure regions. Includes Discovery + non-Discovery sites.</t>
  </si>
  <si>
    <t>2</t>
  </si>
  <si>
    <t>Azure Backup &amp; DataBox</t>
  </si>
  <si>
    <t>Additional Azure charge for Backup services and DataBox. Ceases on decommission.</t>
  </si>
  <si>
    <t>3</t>
  </si>
  <si>
    <t>AWS Arivis (image analysis platform — to be decommissioned)</t>
  </si>
  <si>
    <t>NEW ITEM: AWS-hosted Arivis platform, $12,000/mo. To be transferred to vendor platform. Cost eliminates from AWS billing on transfer date.</t>
  </si>
  <si>
    <t>TOTAL CURRENT MONTHLY COST</t>
  </si>
  <si>
    <t>HubStor $26,455 + Backup $3,000 + Arivis $12,000</t>
  </si>
  <si>
    <t>SECTION 2  —  DATA SCOPE SPLIT  (Discovery vs Non-Discovery)</t>
  </si>
  <si>
    <t>Discovery sites (LEI, HER, GRO, KUO, SZG, FRE, LYO, EVR, FRI, CRP, HAR, PTH) → vendor platform.  Non-Discovery (MWN, WLM, RNO, EDI) → AWS S3 as originally planned.</t>
  </si>
  <si>
    <t>Scope</t>
  </si>
  <si>
    <t>Azure Region</t>
  </si>
  <si>
    <t>Sites</t>
  </si>
  <si>
    <t>Data Volume (GiB)</t>
  </si>
  <si>
    <t>Data Volume (TiB)</t>
  </si>
  <si>
    <t>Destination</t>
  </si>
  <si>
    <t>V</t>
  </si>
  <si>
    <t>DISCOVERY
→ VENDOR</t>
  </si>
  <si>
    <t>GermanyWestCentral (Frankfurt)</t>
  </si>
  <si>
    <t>FRI</t>
  </si>
  <si>
    <t>Vendor platform</t>
  </si>
  <si>
    <t>Discovery DE. German data sovereignty must be maintained.</t>
  </si>
  <si>
    <t>UKSouth (London) — Discovery portion</t>
  </si>
  <si>
    <t>CRP, HAR, PTH</t>
  </si>
  <si>
    <t>Early Discovery UK (CRP 325 TiB + HAR 17 TiB) + Portishead Discovery (PTH 26 TiB).</t>
  </si>
  <si>
    <t>A</t>
  </si>
  <si>
    <t>NON-DISCOVERY
→ AWS S3</t>
  </si>
  <si>
    <t>EastUS2 (Virginia)</t>
  </si>
  <si>
    <t>MWN, WLM</t>
  </si>
  <si>
    <t>AWS S3</t>
  </si>
  <si>
    <t>Safety Assessment East, Microbial, RMS. As originally planned.</t>
  </si>
  <si>
    <t>WestUS2 (Washington)</t>
  </si>
  <si>
    <t>RNO</t>
  </si>
  <si>
    <t>Safety Assessment West. As originally planned.</t>
  </si>
  <si>
    <t>UKSouth — non-Discovery portion</t>
  </si>
  <si>
    <t>EDI</t>
  </si>
  <si>
    <t>Safety Assessment UK only. Minimal volume (0.5 TiB).</t>
  </si>
  <si>
    <t>DISCOVERY TOTAL</t>
  </si>
  <si>
    <t>→ VENDOR</t>
  </si>
  <si>
    <t>NON-DISCOVERY TOTAL (→ AWS S3)</t>
  </si>
  <si>
    <t>→ AWS S3</t>
  </si>
  <si>
    <t>SECTION 3  —  ONE-TIME MIGRATION / TRANSFER COSTS</t>
  </si>
  <si>
    <t>Two separate transfer workstreams: (A) AWS S3 migration for non-Discovery sites (same method as original plan, smaller volume).  (B) Vendor platform transfer for Discovery sites + Arivis. Vendor ingestion costs are estimated — confirm with chosen vendor.</t>
  </si>
  <si>
    <t>Cost Component</t>
  </si>
  <si>
    <t>Workstream</t>
  </si>
  <si>
    <t>Amount ($)</t>
  </si>
  <si>
    <t>Basis / Formula</t>
  </si>
  <si>
    <t>Azure retrieval fees (non-Discovery data only)</t>
  </si>
  <si>
    <t>AWS S3 migration</t>
  </si>
  <si>
    <t>Cool/Cold/Archive retrieval. Proportional to non-Discovery fraction (~27.7% of original $22,739).</t>
  </si>
  <si>
    <t>Azure egress — non-Discovery to AWS S3</t>
  </si>
  <si>
    <t>Internet egress Azure→S3 for 288 TiB. ~27.7% of original $64,645.</t>
  </si>
  <si>
    <t>AWS DataSync fee (non-Discovery data)</t>
  </si>
  <si>
    <t>$0.0125/GB × 317,000 GB (288 TiB × 1.074).</t>
  </si>
  <si>
    <t>S3 PUT requests (non-Discovery)</t>
  </si>
  <si>
    <t>Proportional to non-Discovery object count.</t>
  </si>
  <si>
    <t>IAM, KMS, S3 bucket setup</t>
  </si>
  <si>
    <t>3 S3 buckets (us-east-1, us-west-2, eu-west-2), IAM roles, KMS. Smaller scope.</t>
  </si>
  <si>
    <t>File Gateway EC2 setup (3 sites: MWN, WLM/RNO, EDI)</t>
  </si>
  <si>
    <t>$500/site × 3 sites IT labour. Gateway for US + UK Safety Assessment only.</t>
  </si>
  <si>
    <t>Testing, UAT &amp; HubStor decommission</t>
  </si>
  <si>
    <t>UAT $2,500 + HubStor contract decommission $1,500.</t>
  </si>
  <si>
    <t>Contingency 10% (AWS workstream)</t>
  </si>
  <si>
    <t>10% of AWS migration subtotal.</t>
  </si>
  <si>
    <t>B1</t>
  </si>
  <si>
    <t>Azure egress — Discovery data to vendor platform</t>
  </si>
  <si>
    <t>Vendor transfer</t>
  </si>
  <si>
    <t>828,801 GB × $0.06/GB average egress. Largest single cost. Negotiate waiver with Azure.</t>
  </si>
  <si>
    <t>B2</t>
  </si>
  <si>
    <t>Vendor platform ingestion fee (est.)</t>
  </si>
  <si>
    <t>Estimated $0.01/GB × 828,801 GB. Confirm with chosen vendor — may vary significantly.</t>
  </si>
  <si>
    <t>B3</t>
  </si>
  <si>
    <t>Vendor platform setup &amp; configuration</t>
  </si>
  <si>
    <t>Infrastructure setup, user access config, data validation. Internal IT labour estimate.</t>
  </si>
  <si>
    <t>B4</t>
  </si>
  <si>
    <t>Arivis data transfer to vendor platform (est.)</t>
  </si>
  <si>
    <t>Arivis image data export from AWS + ingestion to vendor. Estimated $8,000. Arivis vendor to confirm actual transfer scope and cost.</t>
  </si>
  <si>
    <t>B5</t>
  </si>
  <si>
    <t>Testing, validation &amp; Discovery site cutover</t>
  </si>
  <si>
    <t>Data integrity checks, user acceptance testing across Discovery sites.</t>
  </si>
  <si>
    <t>B6</t>
  </si>
  <si>
    <t>Contingency 10% (vendor workstream)</t>
  </si>
  <si>
    <t>10% of vendor transfer subtotal.</t>
  </si>
  <si>
    <t>SUBTOTAL — AWS S3 Migration (non-Discovery)</t>
  </si>
  <si>
    <t>SUBTOTAL — Vendor Transfer (Discovery + Arivis)</t>
  </si>
  <si>
    <t>GRAND TOTAL — ONE-TIME COSTS (BOTH WORKSTREAMS)</t>
  </si>
  <si>
    <t>AWS migration + Vendor transfer. Subject to vendor quotation for ingestion fees.</t>
  </si>
  <si>
    <t>SECTION 4  —  ONGOING MONTHLY COSTS  (Post-Migration, from Jan 2027)</t>
  </si>
  <si>
    <t>Non-Discovery data on AWS S3 has known, modelled costs below. Discovery vendor platform and Arivis vendor costs are TBD — these must be obtained from the chosen vendor as part of the vendor selection process.</t>
  </si>
  <si>
    <t>Resource</t>
  </si>
  <si>
    <t>Status</t>
  </si>
  <si>
    <t>C1</t>
  </si>
  <si>
    <t>AWS S3 Storage — non-Discovery data only (288 TiB)</t>
  </si>
  <si>
    <t>CONFIRMED</t>
  </si>
  <si>
    <t>S3 Standard/IA/Glacier IR/Deep Archive for 288 TiB. Grows 5%/yr from 2028.</t>
  </si>
  <si>
    <t>C2</t>
  </si>
  <si>
    <t>File Gateway EC2 — 3 sites (MWN/WLM, RNO, EDI) × $130</t>
  </si>
  <si>
    <t>3 EC2 t3.xlarge for US + UK Safety Assessment sites only. Recurring monthly.</t>
  </si>
  <si>
    <t>C3</t>
  </si>
  <si>
    <t>AWS ops (CloudWatch, KMS, SNS, Config, API, Glacier, egress)</t>
  </si>
  <si>
    <t>Fixed ops costs. Same as original model.</t>
  </si>
  <si>
    <t>D1</t>
  </si>
  <si>
    <t>Discovery sites — vendor platform storage &amp; access (753 TiB)</t>
  </si>
  <si>
    <t>TBD</t>
  </si>
  <si>
    <t>⚠ TBD — VENDOR QUOTE</t>
  </si>
  <si>
    <t>Must obtain from vendor. Depends on vendor pricing model. Budget estimate: $0.01–$0.05/GB/mo = $8,300–$41,500/mo. Wide range until vendor selected.</t>
  </si>
  <si>
    <t>D2</t>
  </si>
  <si>
    <t>AWS Arivis — vendor platform equivalent</t>
  </si>
  <si>
    <t>Arivis functionality at vendor. Could be included in D1 vendor contract or separate SaaS subscription. Current AWS cost = $12,000/mo — target to reduce.</t>
  </si>
  <si>
    <t>D3</t>
  </si>
  <si>
    <t>Azure Blob Storage — ELIMINATED</t>
  </si>
  <si>
    <t>$0</t>
  </si>
  <si>
    <t>✅ ELIMINATED</t>
  </si>
  <si>
    <t>All Azure Blob decommissioned. Zero ongoing Azure storage cost.</t>
  </si>
  <si>
    <t>D4</t>
  </si>
  <si>
    <t>HubStor subscription — TERMINATED</t>
  </si>
  <si>
    <t>✅ TERMINATED</t>
  </si>
  <si>
    <t>HubStor contract ended. $26,455/mo eliminated from Jan 2027.</t>
  </si>
  <si>
    <t>D5</t>
  </si>
  <si>
    <t>AWS Arivis on AWS — DECOMMISSIONED</t>
  </si>
  <si>
    <t>✅ DECOMMISSIONED</t>
  </si>
  <si>
    <t>$12,000/mo eliminated from AWS billing on vendor transfer date.</t>
  </si>
  <si>
    <t>AWS MONTHLY TOTAL (non-Discovery, confirmed)</t>
  </si>
  <si>
    <t>S3 + Gateway EC2 + ops</t>
  </si>
  <si>
    <t>VENDOR MONTHLY COST:  TBD — pending vendor selection and quotation. Target: total post-migration cost (AWS + vendor + Arivis equivalent) should be well below current $41,455/mo. Even at $8,000/mo vendor cost, total = $1,626 + $8,000 = $9,626/mo — a $31,829/mo saving (76.8% reduction).</t>
  </si>
  <si>
    <t>SECTION 5  —  SAVING SUMMARY vs CURRENT BASELINE</t>
  </si>
  <si>
    <t>Metric</t>
  </si>
  <si>
    <t>Current</t>
  </si>
  <si>
    <t>Post-Migration (AWS)</t>
  </si>
  <si>
    <t>Post-Migration (Vendor TBD)</t>
  </si>
  <si>
    <t>Delta</t>
  </si>
  <si>
    <t>HubStor storage cost</t>
  </si>
  <si>
    <t>ELIMINATED</t>
  </si>
  <si>
    <t>Entire $26,455/mo removed</t>
  </si>
  <si>
    <t>Azure Backup/DataBox</t>
  </si>
  <si>
    <t>$3,000/mo removed</t>
  </si>
  <si>
    <t>AWS Arivis</t>
  </si>
  <si>
    <t>TRANSFERRED</t>
  </si>
  <si>
    <t>$12,000/mo from AWS → vendor (vendor cost TBD)</t>
  </si>
  <si>
    <t>AWS non-Discovery storage</t>
  </si>
  <si>
    <t>N/A</t>
  </si>
  <si>
    <t>NEW COST</t>
  </si>
  <si>
    <t>$1,626/mo AWS S3 + Gateway + ops</t>
  </si>
  <si>
    <t>Vendor (Discovery+Arivis)</t>
  </si>
  <si>
    <t>Vendor quote required</t>
  </si>
  <si>
    <t>TOTAL</t>
  </si>
  <si>
    <t>Confirmed AWS saving vs current total</t>
  </si>
  <si>
    <t>SECTION 6  —  KEY ACTIONS &amp; NEXT STEPS</t>
  </si>
  <si>
    <t>Priority</t>
  </si>
  <si>
    <t>Action</t>
  </si>
  <si>
    <t>Owner</t>
  </si>
  <si>
    <t>Timeline</t>
  </si>
  <si>
    <t>Impact if delayed</t>
  </si>
  <si>
    <t>🔴 CRITICAL</t>
  </si>
  <si>
    <t>Select vendor platform for Discovery sites and Arivis</t>
  </si>
  <si>
    <t>Programme Director</t>
  </si>
  <si>
    <t>Week 1–2</t>
  </si>
  <si>
    <t>Cannot plan vendor transfer costs or timeline without vendor selection</t>
  </si>
  <si>
    <t>Not started</t>
  </si>
  <si>
    <t>Get vendor quote for Discovery data ingestion + ongoing storage</t>
  </si>
  <si>
    <t>Cloud Arch + Vendor</t>
  </si>
  <si>
    <t>Week 2–3</t>
  </si>
  <si>
    <t>Section 4 vendor costs are unknown — financial case incomplete without this</t>
  </si>
  <si>
    <t>Obtain Arivis vendor transfer specification</t>
  </si>
  <si>
    <t>Arivis / App Team</t>
  </si>
  <si>
    <t>Transfer cost and feasibility unknown. $12,000/mo saving depends on this</t>
  </si>
  <si>
    <t>🔴 HIGH</t>
  </si>
  <si>
    <t>Confirm HubStor contract notice period and termination date</t>
  </si>
  <si>
    <t>Legal</t>
  </si>
  <si>
    <t>Week 1</t>
  </si>
  <si>
    <t>Contract lock-in could add up to $88,500 in overlap billing</t>
  </si>
  <si>
    <t>⚠  HIGH</t>
  </si>
  <si>
    <t>Scope Azure egress waiver request for vendor transfer (753 TiB)</t>
  </si>
  <si>
    <t>Cloud Arch</t>
  </si>
  <si>
    <t>Week 2</t>
  </si>
  <si>
    <t>Azure egress to vendor estimated at $49,728 — waiver could save $30–50K</t>
  </si>
  <si>
    <t>Confirm which sites are Discovery vs non-Discovery with data owners</t>
  </si>
  <si>
    <t>Programme Mgr</t>
  </si>
  <si>
    <t>Scope split assumptions (UK Discovery vs Safety Assessment) may need validation</t>
  </si>
  <si>
    <t>✅ PROCEED</t>
  </si>
  <si>
    <t>AWS S3 migration for non-Discovery sites — proceed as planned</t>
  </si>
  <si>
    <t>Month 1–6</t>
  </si>
  <si>
    <t>No change to original AWS migration plan. Smaller scope = lower cost/risk</t>
  </si>
  <si>
    <t>Ready to start</t>
  </si>
  <si>
    <t>HUBSTOR → AWS S3 COMPLETE MIGRATION  |  BUSINESS CASE &amp; COST ANALYSIS</t>
  </si>
  <si>
    <t>Prepared for Internal Review  |  Based on HubStor Master Report v5  |  Costs as at March 2026</t>
  </si>
  <si>
    <t>CURRENT TOTAL MONTHLY COST
(HubStor + Azure + Backup/DataBox)</t>
  </si>
  <si>
    <t>AWS TOTAL MONTHLY
(S3 + Gateway appliance + infra)</t>
  </si>
  <si>
    <t>MONTHLY SAVING vs CURRENT COST
(Total current − AWS)</t>
  </si>
  <si>
    <t>ONE-TIME MIGRATION COST</t>
  </si>
  <si>
    <t>CURRENT HUBSTOR COSTS BY AZURE REGION  (Source: HubStor Master Report v5)</t>
  </si>
  <si>
    <t>Azure Location</t>
  </si>
  <si>
    <t>Total Usage (GiB)</t>
  </si>
  <si>
    <t>Formula: GiB</t>
  </si>
  <si>
    <t>Storage Cost/mo ($)</t>
  </si>
  <si>
    <t>Total Cost/mo ($)</t>
  </si>
  <si>
    <t>Formula: Total</t>
  </si>
  <si>
    <t>EastUS2</t>
  </si>
  <si>
    <t>Virginia, USA</t>
  </si>
  <si>
    <t>Hardcoded from Master Report</t>
  </si>
  <si>
    <t>HubStor Azure Blob Storage charge</t>
  </si>
  <si>
    <t>GermanyWestCentral</t>
  </si>
  <si>
    <t>Frankfurt, Germany</t>
  </si>
  <si>
    <t>UKSouth</t>
  </si>
  <si>
    <t>London, UK</t>
  </si>
  <si>
    <t>WestEurope</t>
  </si>
  <si>
    <t>Amsterdam, Netherlands</t>
  </si>
  <si>
    <t>WestUS2</t>
  </si>
  <si>
    <t>Washington, USA</t>
  </si>
  <si>
    <t>GRAND TOTAL</t>
  </si>
  <si>
    <t>All 5 Azure Regions</t>
  </si>
  <si>
    <t>SUM(C10:C14)</t>
  </si>
  <si>
    <t>Storage Cost + Total (equal here — non-storage removed)</t>
  </si>
  <si>
    <t>HubStor Azure Blob Storage across all regions</t>
  </si>
  <si>
    <t>STORAGE BY AZURE TIER (all values from Assumptions sheet — change inputs there)</t>
  </si>
  <si>
    <t>Azure Tier</t>
  </si>
  <si>
    <t>Equiv. AWS Class</t>
  </si>
  <si>
    <t>Usage (GiB)</t>
  </si>
  <si>
    <t>Usage (TiB)</t>
  </si>
  <si>
    <t>% of Total</t>
  </si>
  <si>
    <t>Standard</t>
  </si>
  <si>
    <t>S3 Standard</t>
  </si>
  <si>
    <t>Hot</t>
  </si>
  <si>
    <t>Cool</t>
  </si>
  <si>
    <t>S3 Standard-IA</t>
  </si>
  <si>
    <t>Cold</t>
  </si>
  <si>
    <t>S3 Glacier IR</t>
  </si>
  <si>
    <t>Archive</t>
  </si>
  <si>
    <t>S3 Deep Archive</t>
  </si>
  <si>
    <t>AZURE HUBSTOR vs AWS S3 — COMPLETE COST COMPARISON (Storage + All Infrastructure)</t>
  </si>
  <si>
    <t>TIER PRICING ASSUMPTIONS (all rates from Assumptions sheet — edit there)</t>
  </si>
  <si>
    <t>Storage Tier</t>
  </si>
  <si>
    <t>Azure $/GB/mo</t>
  </si>
  <si>
    <t>Formula</t>
  </si>
  <si>
    <t>AWS Class</t>
  </si>
  <si>
    <t>AWS $/GB/mo (blended)</t>
  </si>
  <si>
    <t>Min Duration</t>
  </si>
  <si>
    <t>Standard/Hot</t>
  </si>
  <si>
    <t>None</t>
  </si>
  <si>
    <t>Active files; low % of total</t>
  </si>
  <si>
    <t>30 days</t>
  </si>
  <si>
    <t>Retrieval fee applies</t>
  </si>
  <si>
    <t>90 days</t>
  </si>
  <si>
    <t>Millisecond retrieval</t>
  </si>
  <si>
    <t>180 days</t>
  </si>
  <si>
    <t>Dominant tier — 83% of data</t>
  </si>
  <si>
    <t>MONTHLY COST COMPARISON BY STORAGE TIER</t>
  </si>
  <si>
    <t>Tier</t>
  </si>
  <si>
    <t>Formula: TiB</t>
  </si>
  <si>
    <t>Azure Storage $/mo</t>
  </si>
  <si>
    <t>Azure Total $/mo</t>
  </si>
  <si>
    <t>AWS Storage $/mo</t>
  </si>
  <si>
    <t>Monthly Saving $</t>
  </si>
  <si>
    <t>B13÷1024</t>
  </si>
  <si>
    <t>B13×Assumptions CC23×1.074 (GiB→GB×$/GB)</t>
  </si>
  <si>
    <t>Azure storage × rate</t>
  </si>
  <si>
    <t>B13×1.074×Blended Standard/Hot AWS price</t>
  </si>
  <si>
    <t>Azure storage - AWS Storage = monthly saving per tier</t>
  </si>
  <si>
    <t>B14÷1024</t>
  </si>
  <si>
    <t>B14×Assumptions CC24×1.074 (GiB→GB×$/GB)</t>
  </si>
  <si>
    <t>B14×1.074×Standard-IA blended</t>
  </si>
  <si>
    <t>B15÷1024</t>
  </si>
  <si>
    <t>B15×Assumptions CC25×1.074 (GiB→GB×$/GB)</t>
  </si>
  <si>
    <t>B15×1.074×Glacier IR blended</t>
  </si>
  <si>
    <t>B16÷1024</t>
  </si>
  <si>
    <t>B16×Assumptions CC26×1.074 (GiB→GB×$/GB)</t>
  </si>
  <si>
    <t>B16×1.074×Glacier Deep Archive blended</t>
  </si>
  <si>
    <t>STORAGE SUBTOTAL</t>
  </si>
  <si>
    <t>AWS INFRASTRUCTURE COSTS — S3 File Gateway VM (EC2 t3.xlarge per site → S3)</t>
  </si>
  <si>
    <t>Qty</t>
  </si>
  <si>
    <t>Unit Cost /mo</t>
  </si>
  <si>
    <t>AWS S3 File Gateway VM — EC2 t3.xlarge (×5 sites, recurring monthly)</t>
  </si>
  <si>
    <t>EC2 t3.xlarge hosts File Gateway VM software at each site. $130/mo × 5 sites = $650/mo recurring. Gateway presents NFS/SMB shares to applications, caches data locally, syncs to S3. Replaces HubStor connector agents permanently.</t>
  </si>
  <si>
    <t>S3 Transfer Acceleration (optional — set $0 for archive)</t>
  </si>
  <si>
    <t>Only needed if upload speed over long-distance WAN is critical. Archive workloads: $0.</t>
  </si>
  <si>
    <t>CloudWatch (monitoring, dashboards, alarms, logs)</t>
  </si>
  <si>
    <t>Dashboards + custom metrics + CloudWatch alarms + log ingestion</t>
  </si>
  <si>
    <t>AWS KMS — Customer Managed Keys (1 per region × 5)</t>
  </si>
  <si>
    <t>$1/key/mo × 5 regions = $5/mo. Encrypts S3 objects and Gateway cache.</t>
  </si>
  <si>
    <t>SNS — cost &amp; health alert notifications</t>
  </si>
  <si>
    <t>Alert topics for budget anomalies and Gateway connectivity issues</t>
  </si>
  <si>
    <t>AWS Config — compliance rule evaluation</t>
  </si>
  <si>
    <t>GxP/regulatory config rules on S3 buckets. Object Lock compliance checks.</t>
  </si>
  <si>
    <t>S3 API Operations — ongoing PUTs/GETs (new archive writes)</t>
  </si>
  <si>
    <t>Estimated monthly API cost for new data written from all 5 gateway sites</t>
  </si>
  <si>
    <t>Glacier Deep Archive retrieval fees (ongoing, est. 0.5%/mo)</t>
  </si>
  <si>
    <t>0.5% of 862 TiB retrieved/mo × $0.02/GB restore fee</t>
  </si>
  <si>
    <t>S3 egress to internet (end-user retrieval, est.)</t>
  </si>
  <si>
    <t>~10% of retrieved data sent externally. Rest served within AWS/Gateway.</t>
  </si>
  <si>
    <t>INFRASTRUCTURE SUBTOTAL</t>
  </si>
  <si>
    <t>TOTAL COST SUMMARY — HUBSTOR (CURRENT) vs AWS S3 COMPLETE REPLACEMENT</t>
  </si>
  <si>
    <t>Line Item</t>
  </si>
  <si>
    <t>Saving vs HubStor</t>
  </si>
  <si>
    <t>% Reduction</t>
  </si>
  <si>
    <t>HubStor Azure Blob Storage (from Master Report v5)</t>
  </si>
  <si>
    <t>Actuals from HubStor Master Report v5 — Azure Blob Storage across 5 regions</t>
  </si>
  <si>
    <t>Azure Backup &amp; DataBox (additional charge)</t>
  </si>
  <si>
    <t>Backup services + DataBox ($3,000/mo). Ceases Dec 2026 when Azure fully decommissioned.</t>
  </si>
  <si>
    <t>TOTAL CURRENT MONTHLY COST (ALL-IN)</t>
  </si>
  <si>
    <t>Baseline for all saving calculations</t>
  </si>
  <si>
    <t>HubStor + Azure Blob + Backup/DataBox — this is what we actually pay today</t>
  </si>
  <si>
    <t>AWS S3 Storage Cost (all 5 tiers)</t>
  </si>
  <si>
    <t>Pure S3 storage — Standard/IA/Glacier IR/Deep Archive</t>
  </si>
  <si>
    <t>AWS Infrastructure (File Gateway VM EC2 + ops)</t>
  </si>
  <si>
    <t>File Gateway EC2 $650 + CloudWatch $31 + KMS $5 + SNS $2 + Config $10 + S3 API $65 + Glacier $86 + egress $39 = $888/mo</t>
  </si>
  <si>
    <t>AWS TOTAL (Storage + Infrastructure)</t>
  </si>
  <si>
    <t>True monthly saving vs total current cost (incl. Backup/DataBox)</t>
  </si>
  <si>
    <t>ONE-TIME MIGRATION COSTS — COMPLETE ITEMIZED BREAKDOWN (All formulas shown)</t>
  </si>
  <si>
    <t>All four cost components + AWS setup costs | Black = formula | Blue/Yellow = input | Route: Azure → Public internet → S3 (NOT via VPN)</t>
  </si>
  <si>
    <t>COMPONENT 1 — AZURE RETRIEVAL CHARGES (reading data out of Azure Blob before egress)</t>
  </si>
  <si>
    <t>ℹ  Standard/Hot: no retrieval fee. Cool=$0.01/GB. Cold=$0.03/GB. Archive=$0.022/GB (Standard rehydration, ~15hr wait — factor into timeline)</t>
  </si>
  <si>
    <t>GiB (input)</t>
  </si>
  <si>
    <t>GB (decimal)</t>
  </si>
  <si>
    <t>Formula: GB</t>
  </si>
  <si>
    <t>Retrieval $/GB</t>
  </si>
  <si>
    <t>Retrieval Cost ($)</t>
  </si>
  <si>
    <t>B7×Assumptions!C11 (GiB→GB)</t>
  </si>
  <si>
    <t>No charge — Standard tier: read freely at no cost</t>
  </si>
  <si>
    <t>No retrieval fee</t>
  </si>
  <si>
    <t>B8×Assumptions!C11 (GiB→GB)</t>
  </si>
  <si>
    <t>No charge — Hot tier: read freely at no cost</t>
  </si>
  <si>
    <t>B9×Assumptions!C11 (GiB→GB)</t>
  </si>
  <si>
    <t>C9×E9 (GB × retrieval rate)</t>
  </si>
  <si>
    <t>Per-GB read charge</t>
  </si>
  <si>
    <t>B10×Assumptions!C11 (GiB→GB)</t>
  </si>
  <si>
    <t>C10×E10 (GB × retrieval rate)</t>
  </si>
  <si>
    <t>B11×Assumptions!C11 (GiB→GB)</t>
  </si>
  <si>
    <t>C11×E11 (GB × retrieval rate)</t>
  </si>
  <si>
    <t>Standard rehydration rate (15hr per batch)</t>
  </si>
  <si>
    <t>SUBTOTAL — AZURE RETRIEVAL</t>
  </si>
  <si>
    <t>SUM(G7:G11) — sum all five tiers</t>
  </si>
  <si>
    <t>COMPONENT 2 — AZURE EGRESS CHARGES (direct to S3 public endpoint — NOT via VPN)</t>
  </si>
  <si>
    <t>ℹ  VPN routing adds AWS transit/inspection costs. Use S3 public endpoints. Azure charges tiered egress: rates drop for higher volumes. First 100GB free.</t>
  </si>
  <si>
    <t>Region Group</t>
  </si>
  <si>
    <t>Volume (GB)</t>
  </si>
  <si>
    <t>Formula: Volume</t>
  </si>
  <si>
    <t>Tier1 $/GB ≤10TB</t>
  </si>
  <si>
    <t>Tier2 $/GB 10-50TB</t>
  </si>
  <si>
    <t>Tier3 $/GB 50-150TB</t>
  </si>
  <si>
    <t>Tier4 $/GB &gt;150TB</t>
  </si>
  <si>
    <t>Egress Cost ($)</t>
  </si>
  <si>
    <t>US Regions (EastUS2 + WestUS2)</t>
  </si>
  <si>
    <t>Assumptions!C18 — US GiB × 1.074</t>
  </si>
  <si>
    <t>eastus2+westus2 gib×1.074 then tiered: 100GB free + 9900GB×$0.087 + 40000GB×$0.083 + 100000GB×$0.070 + remainder×$0.050</t>
  </si>
  <si>
    <t>Virginia→us-east-1, Washington→us-west-2</t>
  </si>
  <si>
    <t>EU Regions (UKSouth + WestEurope + GermanyWestCentral)</t>
  </si>
  <si>
    <t>Assumptions!C19 — EU GiB × 1.074</t>
  </si>
  <si>
    <t>eu gib×1.074 tiered: 100GB free + 9900GB×$0.087 + 40000GB×$0.083 + 100000GB×$0.070 + remainder×$0.050</t>
  </si>
  <si>
    <t>UK→eu-west-2, NL→eu-west-1, DE→eu-central-1</t>
  </si>
  <si>
    <t>SUBTOTAL — AZURE EGRESS</t>
  </si>
  <si>
    <t>SUM(H17:H18) — sum US+EU egress</t>
  </si>
  <si>
    <t>COMPONENT 3 — AWS S3 PUT REQUEST CHARGES (ingress to AWS is free; API calls are not)</t>
  </si>
  <si>
    <t>ℹ  PUT rate varies by storage class. Glacier Deep Archive = $0.05/1K (10× Standard). Average file size is critical — adjust yellow cells. Object count = GiB×1024÷avg_MB.</t>
  </si>
  <si>
    <t>Storage Class</t>
  </si>
  <si>
    <t>Volume (GiB)</t>
  </si>
  <si>
    <t>Avg File MB ← INPUT</t>
  </si>
  <si>
    <t>Object Count</t>
  </si>
  <si>
    <t>Formula: Object Count</t>
  </si>
  <si>
    <t>PUT Rate ($/1K)</t>
  </si>
  <si>
    <t>PUT Cost ($)</t>
  </si>
  <si>
    <t>S3 Standard (Std+Hot)</t>
  </si>
  <si>
    <t>(B24 gib × 1024 MB/GiB) ÷ C24 (avg MB per file))</t>
  </si>
  <si>
    <t>(object count ÷ 1000) × PUT rate)</t>
  </si>
  <si>
    <t>Low avg size — active files</t>
  </si>
  <si>
    <t>S3 Standard-IA (Cool)</t>
  </si>
  <si>
    <t>(B25 gib × 1024 MB/GiB) ÷ C25 (avg MB per file))</t>
  </si>
  <si>
    <t>$0.01/1K — IA PUT rate higher</t>
  </si>
  <si>
    <t>S3 Glacier IR (Cold)</t>
  </si>
  <si>
    <t>(B26 gib × 1024 MB/GiB) ÷ C26 (avg MB per file))</t>
  </si>
  <si>
    <t>Standard PUT rate</t>
  </si>
  <si>
    <t>S3 Glacier Deep Archive</t>
  </si>
  <si>
    <t>(B27 gib × 1024 MB/GiB) ÷ C27 (avg MB per file))</t>
  </si>
  <si>
    <t>⚠ $0.05/1K — 10× Standard; file size critical</t>
  </si>
  <si>
    <t>SUBTOTAL — S3 PUT REQUESTS</t>
  </si>
  <si>
    <t>SUM(H24:H27) — sum all PUT tiers</t>
  </si>
  <si>
    <t>COMPONENT 4 — POST-INGESTION LIFECYCLE TRANSITION CHARGES</t>
  </si>
  <si>
    <t>ℹ  BEST PRACTICE: PUT directly into target storage class using --storage-class flag in DataSync. This makes transition cost $0. Option B shown for reference only.</t>
  </si>
  <si>
    <t>Option</t>
  </si>
  <si>
    <t>Target Class</t>
  </si>
  <si>
    <t>Transition $/1K</t>
  </si>
  <si>
    <t>Transition Cost ($)</t>
  </si>
  <si>
    <t>Recommendation</t>
  </si>
  <si>
    <t>OPTION A (recommended): PUT directly to target class</t>
  </si>
  <si>
    <t>All classes</t>
  </si>
  <si>
    <t>Sum of all object counts from PUT section</t>
  </si>
  <si>
    <t>0 — PUT directly into target class: no lifecycle transition</t>
  </si>
  <si>
    <t>✅ Use --storage-class flag per DataSync task. Zero cost.</t>
  </si>
  <si>
    <t>OPTION B: Land in Standard, transition to Standard-IA</t>
  </si>
  <si>
    <t>Standard-IA</t>
  </si>
  <si>
    <t>Cool object count from PUT section row D</t>
  </si>
  <si>
    <t>(object count ÷ 1000) × transition rate)</t>
  </si>
  <si>
    <t>Avoid — use Option A above</t>
  </si>
  <si>
    <t>OPTION B: Land in Standard, transition to Deep Archive</t>
  </si>
  <si>
    <t>Glacier Deep Archive</t>
  </si>
  <si>
    <t>Archive object count from PUT section row D</t>
  </si>
  <si>
    <t>⚠ Most expensive — avoid for 882 TiB archive data</t>
  </si>
  <si>
    <t>COMPONENT 5 — AWS ONE-TIME SETUP &amp; MIGRATION EXECUTION COSTS (complete HubStor replacement)</t>
  </si>
  <si>
    <t>Item</t>
  </si>
  <si>
    <t>Formula: Qty</t>
  </si>
  <si>
    <t>Unit Cost ($)</t>
  </si>
  <si>
    <t>Total Cost ($)</t>
  </si>
  <si>
    <t>AWS DataSync — data scanning/migration fee</t>
  </si>
  <si>
    <t>Assumptions!C15 (total GB decimal)</t>
  </si>
  <si>
    <t>Assumptions!C63 ($0.0125/GB scanned)</t>
  </si>
  <si>
    <t>qty × Unit cost</t>
  </si>
  <si>
    <t>One-time migration tool — $0.0125/GB for all data scanned</t>
  </si>
  <si>
    <t>File Gateway VM on EC2 t3.xlarge setup &amp; config (5 sites)</t>
  </si>
  <si>
    <t>Assumptions!C54 (number of sites)</t>
  </si>
  <si>
    <t>Estimated IT labor per site (internal cost)</t>
  </si>
  <si>
    <t>Launch EC2 t3.xlarge at each site, install File Gateway software, configure NFS/SMB shares, test connectivity to S3. $500/site IT config labour. EC2 recurring from launch: $130/mo/site.</t>
  </si>
  <si>
    <t>S3 bucket creation, lifecycle policies, tagging</t>
  </si>
  <si>
    <t>Fixed</t>
  </si>
  <si>
    <t>One-time AWS console/CLI setup</t>
  </si>
  <si>
    <t>5 buckets × 5 regions, lifecycle rules, Object Lock config</t>
  </si>
  <si>
    <t>IAM roles, policies, KMS key setup</t>
  </si>
  <si>
    <t>One-time security config</t>
  </si>
  <si>
    <t>Gateway IAM role, DataSync role, bucket policies, KMS CMKs</t>
  </si>
  <si>
    <t>Testing, validation &amp; UAT</t>
  </si>
  <si>
    <t>Internal resource time estimate</t>
  </si>
  <si>
    <t>Data integrity checks, retrieval tests, connector smoke tests</t>
  </si>
  <si>
    <t>HubStor subscription decommission &amp; contract mgmt</t>
  </si>
  <si>
    <t>Legal/admin for contract termination</t>
  </si>
  <si>
    <t>Notice period management, final data verification, sign-off</t>
  </si>
  <si>
    <t>SUBTOTAL — AWS SETUP COSTS</t>
  </si>
  <si>
    <t>SUM(F40:F45) — sum all setup costs</t>
  </si>
  <si>
    <t>TOTAL ONE-TIME MIGRATION COST — GRAND TOTAL SUMMARY</t>
  </si>
  <si>
    <t>1. Azure Retrieval Charges</t>
  </si>
  <si>
    <t>G12 (Component 1 subtotal)</t>
  </si>
  <si>
    <t>B50÷Grand Total</t>
  </si>
  <si>
    <t>2. Azure Egress Charges</t>
  </si>
  <si>
    <t>H19 (Component 2 subtotal)</t>
  </si>
  <si>
    <t>B51÷Grand Total</t>
  </si>
  <si>
    <t>3. AWS S3 PUT Requests</t>
  </si>
  <si>
    <t>H28 (Component 3 subtotal)</t>
  </si>
  <si>
    <t>B52÷Grand Total</t>
  </si>
  <si>
    <t>4. Lifecycle Transitions</t>
  </si>
  <si>
    <t>G33 — Component 4 Option A (=$0 if PUT directly)</t>
  </si>
  <si>
    <t>B53÷Grand Total</t>
  </si>
  <si>
    <t>5. AWS Setup &amp; Execution Costs</t>
  </si>
  <si>
    <t>F46 — Component 5 subtotal</t>
  </si>
  <si>
    <t>B54÷Grand Total</t>
  </si>
  <si>
    <t>Contingency (10%)</t>
  </si>
  <si>
    <t>SUM(B50:B54)×10% contingency buffer</t>
  </si>
  <si>
    <t>B55÷Grand Total</t>
  </si>
  <si>
    <t>★  GRAND TOTAL — ONE-TIME MIGRATION COST</t>
  </si>
  <si>
    <t>SUM(B50:B55) — all five components + contingency</t>
  </si>
  <si>
    <t>ROI &amp; PAYBACK ANALYSIS</t>
  </si>
  <si>
    <t>Total One-Time Migration Cost</t>
  </si>
  <si>
    <t>Monthly Saving (HubStor - AWS Total/mo)</t>
  </si>
  <si>
    <t>Assumptions!C67 (HubStor $26,455 + Backup $3,000 = $29,455) minus Cost Comparison!B39 (AWS total)</t>
  </si>
  <si>
    <t>Payback Period (months)</t>
  </si>
  <si>
    <t>(Migration cost + AWS overlap in Phase 1) ÷ monthly saving  =  true payback from Jan 2027</t>
  </si>
  <si>
    <t>Months from Jan 2027 until net cumulative saving turns positive. Matches Financial Model: H80 ÷ monthly saving = months to break-even.</t>
  </si>
  <si>
    <t>Year 1 Gross Saving (Jan–Dec 2027, 12 months × monthly saving)</t>
  </si>
  <si>
    <t>Monthly saving × 12 months. Migration cost is captured in Phase 1 (Jul–Dec 2026).</t>
  </si>
  <si>
    <t>Consistent with Financial Model Annual Summary Year 1 gross saving</t>
  </si>
  <si>
    <t>4-Year Gross Saving (Jan 2027–Dec 2030, 48 months)</t>
  </si>
  <si>
    <t>Monthly saving × 48 months (Years 1–4). Gross saving before migration investment.</t>
  </si>
  <si>
    <t>Net Cumulative Saving — end of Year 1 (Dec 2027)</t>
  </si>
  <si>
    <t>From Financial Model cumulative net saving column — includes Phase 1 migration cost and AWS overlap.</t>
  </si>
  <si>
    <t>Consistent with Financial Model Annual Summary H81</t>
  </si>
  <si>
    <t>Net Cumulative Saving — end of Year 4 (Dec 2030)</t>
  </si>
  <si>
    <t>From Financial Model cumulative net saving — full 4-year net after all migration costs.</t>
  </si>
  <si>
    <t>Consistent with Financial Model Annual Summary H84</t>
  </si>
  <si>
    <t>RISKS &amp; ASSUMPTIONS — COMPLETE HUBSTOR + AZURE BLOB REPLACEMENT WITH AWS S3</t>
  </si>
  <si>
    <t>Must be reviewed and signed off before project commencement | Owner = Cloud Architecture Team</t>
  </si>
  <si>
    <t>KEY ASSUMPTIONS</t>
  </si>
  <si>
    <t>Category</t>
  </si>
  <si>
    <t>Basis / Source</t>
  </si>
  <si>
    <t>If Wrong — Impact</t>
  </si>
  <si>
    <t>Pricing</t>
  </si>
  <si>
    <t>AWS list pricing held flat for 3-year model</t>
  </si>
  <si>
    <t>AWS published list rates March 2026</t>
  </si>
  <si>
    <t>Costs could rise — actual savings may be lower</t>
  </si>
  <si>
    <t>Confirmed</t>
  </si>
  <si>
    <t>HubStor storage costs = 100% of Azure Blob charges from Master Report v5 ($26,455.17/mo)</t>
  </si>
  <si>
    <t>Ratio may vary monthly — directionally correct</t>
  </si>
  <si>
    <t>Finance</t>
  </si>
  <si>
    <t>Azure egress billed at public internet rates (not VPN)</t>
  </si>
  <si>
    <t>Architecture decision — direct to S3 public endpoint</t>
  </si>
  <si>
    <t>VPN routing adds AWS transit cost ($0.02/GB) — adds ~$18K</t>
  </si>
  <si>
    <t>Decision required</t>
  </si>
  <si>
    <t>Data</t>
  </si>
  <si>
    <t>All 1,041.7 TiB migrated to AWS (no data deleted pre-migration)</t>
  </si>
  <si>
    <t>HubStor Master Report v5 — all stors migrated</t>
  </si>
  <si>
    <t>Smaller dataset = lower migration cost; larger = higher</t>
  </si>
  <si>
    <t>TBC</t>
  </si>
  <si>
    <t>Archive avg file size = 500MB (PUT cost sensitivity)</t>
  </si>
  <si>
    <t>Assumed; actual could range 1MB-2GB (see sensitivity table)</t>
  </si>
  <si>
    <t>At 1MB avg: PUT cost rises by $45K; at 100MB: negligible</t>
  </si>
  <si>
    <t>Data Team</t>
  </si>
  <si>
    <t>Verify before migration</t>
  </si>
  <si>
    <t>5% annual data growth rate</t>
  </si>
  <si>
    <t>Conservative industry estimate for scientific archives</t>
  </si>
  <si>
    <t>Higher growth = higher AWS costs but also higher HubStor costs</t>
  </si>
  <si>
    <t>Architecture</t>
  </si>
  <si>
    <t>5 Storage Gateway VMs required (1 per major site)</t>
  </si>
  <si>
    <t>Site topology from Connector Details sheet — MWN, WLM, RNO, UK, EU</t>
  </si>
  <si>
    <t>More sites = higher EC2/EBS cost; fewer = simpler but single-site risk</t>
  </si>
  <si>
    <t>Review with sites</t>
  </si>
  <si>
    <t>File Gateway (NFS/SMB) replaces all HubStor connectors</t>
  </si>
  <si>
    <t>HubStor connector list has 17+ connectors — all routed via Gateway</t>
  </si>
  <si>
    <t>Connector incompatibility = custom integration effort</t>
  </si>
  <si>
    <t>App Teams</t>
  </si>
  <si>
    <t>Verify each connector</t>
  </si>
  <si>
    <t>Direct Connect NOT required — public internet sufficient</t>
  </si>
  <si>
    <t>Gateway uses HTTPS/TLS; adequate for archive workloads</t>
  </si>
  <si>
    <t>Bandwidth constraint at peak rehydration may slow retrieval</t>
  </si>
  <si>
    <t>Network Team</t>
  </si>
  <si>
    <t>Monitor in pilot</t>
  </si>
  <si>
    <t>Migration</t>
  </si>
  <si>
    <t>Archive rehydration takes 15hr per batch (Azure Standard priority)</t>
  </si>
  <si>
    <t>Azure documentation — Standard priority SLA</t>
  </si>
  <si>
    <t>Expedited priority ($0.03/GB extra) available if timeline too slow</t>
  </si>
  <si>
    <t>Plan buffer weeks 3-4</t>
  </si>
  <si>
    <t>DataSync used for US data; Rclone for EU (avoids AWS-specific tooling)</t>
  </si>
  <si>
    <t>Best practice for cross-cloud migration</t>
  </si>
  <si>
    <t>Tool failure = manual fallback; add 2-week buffer</t>
  </si>
  <si>
    <t>Migration Team</t>
  </si>
  <si>
    <t>Compliance</t>
  </si>
  <si>
    <t>S3 Object Lock (Compliance mode) used for GxP/regulated data</t>
  </si>
  <si>
    <t>GxP requirement — immutable storage for defined retention period</t>
  </si>
  <si>
    <t>Incorrect retention period = compliance violation</t>
  </si>
  <si>
    <t>QA/Regulatory</t>
  </si>
  <si>
    <t>Legal review required</t>
  </si>
  <si>
    <t>Data residency preserved — UK data stays in eu-west-2 (London)</t>
  </si>
  <si>
    <t>GDPR / UK data protection requirement</t>
  </si>
  <si>
    <t>Wrong region = regulatory breach</t>
  </si>
  <si>
    <t>Legal/Privacy</t>
  </si>
  <si>
    <t>Confirmed in architecture</t>
  </si>
  <si>
    <t>German data stays in eu-central-1 (Frankfurt)</t>
  </si>
  <si>
    <t>GDPR German data sovereignty requirement</t>
  </si>
  <si>
    <t>Commercial</t>
  </si>
  <si>
    <t>HubStor contract allows termination with 30-day notice</t>
  </si>
  <si>
    <t>Assumed standard SaaS terms — verify contract</t>
  </si>
  <si>
    <t>Longer notice = overlap billing period; add to migration cost</t>
  </si>
  <si>
    <t>Verify contract ASAP</t>
  </si>
  <si>
    <t>Wasabi not selected — AWS chosen for S3 API compatibility and GxP compliance</t>
  </si>
  <si>
    <t>Technical decision</t>
  </si>
  <si>
    <t>Wasabi at $6.99/TB = slightly cheaper; recalculate if Wasabi selected</t>
  </si>
  <si>
    <t>Decision confirmed</t>
  </si>
  <si>
    <t>TOP 5 KEY RISKS</t>
  </si>
  <si>
    <t>Ranked by Risk Score. These require immediate owner attention before migration programme approval.</t>
  </si>
  <si>
    <t>Risk</t>
  </si>
  <si>
    <t>Likelihood</t>
  </si>
  <si>
    <t>Impact</t>
  </si>
  <si>
    <t>Risk Score</t>
  </si>
  <si>
    <t>Mitigation</t>
  </si>
  <si>
    <t>Residual</t>
  </si>
  <si>
    <t>R1</t>
  </si>
  <si>
    <t>HubStor contract lock-in
Contract may require &gt;30-day notice or early termination penalties. A 90-day notice period adds up to $88,500 in unexpected HubStor overlap billing.</t>
  </si>
  <si>
    <t>MEDIUM</t>
  </si>
  <si>
    <t>HIGH</t>
  </si>
  <si>
    <t>Review HubStor contract IMMEDIATELY before programme approval. If notice &gt;30 days, shift migration start date or budget overlap cost.</t>
  </si>
  <si>
    <t>Legal / Finance</t>
  </si>
  <si>
    <t>R2</t>
  </si>
  <si>
    <t>Archive rehydration on critical path
882 TiB of Archive data requires 15hr/batch Azure rehydration. If not started in Month 1, it will single-handedly delay the Dec 2026 cutover by 4–8 weeks.</t>
  </si>
  <si>
    <t>Start Archive rehydration Day 1 of migration. Run US and EU batches in parallel. Budget for Expedited rehydration ($0.03/GB) as fallback if timeline slips.</t>
  </si>
  <si>
    <t>R3</t>
  </si>
  <si>
    <t>HubStor connector incompatibility
17+ DPI, NAS and SAP connectors must route via File Gateway NFS/SMB. Any connector using proprietary HubStor APIs will fail silently after cutover.</t>
  </si>
  <si>
    <t>Pilot all 17+ connector types in Month 2 (before full migration). Test each with 5 representative files. Engage HubStor for any proprietary connector docs.</t>
  </si>
  <si>
    <t>R4</t>
  </si>
  <si>
    <t>GxP / regulated data in scope
If HubStor stores GxP-regulated data, migration must follow 21 CFR Part 11 / EU Annex 11 change control. Failure triggers regulatory findings.</t>
  </si>
  <si>
    <t>LOW</t>
  </si>
  <si>
    <t>CRITICAL</t>
  </si>
  <si>
    <t>🟡 MODERATE</t>
  </si>
  <si>
    <t>QA/Regulatory sign-off required BEFORE approval. If confirmed: validated migration partner, full change control, +8–12 weeks to schedule.</t>
  </si>
  <si>
    <t>QA / Regulatory</t>
  </si>
  <si>
    <t>R5</t>
  </si>
  <si>
    <t>Data sovereignty breach
Misconfigured DataSync tasks could route EU/UK data through US AWS regions, violating GDPR and UK data protection requirements.</t>
  </si>
  <si>
    <t>Enforce S3 bucket region with AWS SCP from Day 1. SCP blocks objects landing in wrong region regardless of DataSync config.</t>
  </si>
  <si>
    <t>Cloud Arch / Legal</t>
  </si>
  <si>
    <t>KEY INTERDEPENDENCIES  —  5 Critical Dependencies That Must Be Managed in Sequence</t>
  </si>
  <si>
    <t>A delay in any upstream item cascades to all downstream items. D1 and D2 are block-on items — migration cannot proceed without them.</t>
  </si>
  <si>
    <t>Interdependency</t>
  </si>
  <si>
    <t>Upstream item (must happen first)</t>
  </si>
  <si>
    <t>Downstream impact</t>
  </si>
  <si>
    <t>If broken — consequence</t>
  </si>
  <si>
    <t>When</t>
  </si>
  <si>
    <t>Action required</t>
  </si>
  <si>
    <t>Contract review → migration start date</t>
  </si>
  <si>
    <t>Legal reviews HubStor notice period (links to R1)</t>
  </si>
  <si>
    <t>Migration calendar, Phase 1 budget, overlap cost calculation</t>
  </si>
  <si>
    <t>90-day notice = migration must start April 2026 or $88,500 added in overlap billing.</t>
  </si>
  <si>
    <t>NOW
Month 0</t>
  </si>
  <si>
    <t>Review HubStor contract BEFORE any spend approved.</t>
  </si>
  <si>
    <t>GxP confirmation → migration methodology</t>
  </si>
  <si>
    <t>QA confirms whether GxP data is in HubStor (links to R4)</t>
  </si>
  <si>
    <t>Entire migration approach, tooling, timeline, and cost model</t>
  </si>
  <si>
    <t>GxP confirmed = change control required. +8–12 weeks. Cost model changes materially.</t>
  </si>
  <si>
    <t>Block-on item — cannot proceed without QA sign-off.</t>
  </si>
  <si>
    <t>Archive rehydration → cutover dates</t>
  </si>
  <si>
    <t>Azure Archive rehydration starts Month 1, Week 1 (links to R2)</t>
  </si>
  <si>
    <t>US + EU cutover dates in Months 3–6, HubStor termination date</t>
  </si>
  <si>
    <t>2-week delay = Dec 2026 cutover becomes Feb 2027. $58,910 extra HubStor billing.</t>
  </si>
  <si>
    <t>Month 1
Week 1</t>
  </si>
  <si>
    <t>Start Day 1 of migration — it is the critical path.</t>
  </si>
  <si>
    <t>Connector validation → per-site go-live</t>
  </si>
  <si>
    <t>All 17+ connectors tested against Gateway NFS/SMB (links to R3)</t>
  </si>
  <si>
    <t>Per-site cutover gate — cannot cut over until all connectors pass UAT</t>
  </si>
  <si>
    <t>One failed connector at cutover = site stays on HubStor. Timeline slips. Cost continues.</t>
  </si>
  <si>
    <t>Month 2
Pilot</t>
  </si>
  <si>
    <t>Pilot all connector types Month 2. Fix before full rollout.</t>
  </si>
  <si>
    <t>AWS setup → all migration activity</t>
  </si>
  <si>
    <t>AWS accounts, S3 buckets, IAM roles, KMS keys created</t>
  </si>
  <si>
    <t>DataSync tasks, Gateway launches, Object Lock, monitoring — all depend on this</t>
  </si>
  <si>
    <t>Misconfigured IAM = DataSync fails. Wrong bucket region = sovereignty breach.</t>
  </si>
  <si>
    <t>Complete Week 1. Peer-review IAM before DataSync starts.</t>
  </si>
  <si>
    <t>6-MONTH MIGRATION PLAN — COMPLETE HUBSTOR → AWS S3 REPLACEMENT</t>
  </si>
  <si>
    <t>Phased approach: Pilot → US Regions → EU Regions → Cutover | Data residency preserved throughout | HubStor runs in parallel until Month 6</t>
  </si>
  <si>
    <t>PHASE OVERVIEW — TIMELINE AT A GLANCE</t>
  </si>
  <si>
    <t>Phase</t>
  </si>
  <si>
    <t>Description</t>
  </si>
  <si>
    <t>Month 1</t>
  </si>
  <si>
    <t>Month 2</t>
  </si>
  <si>
    <t>Month 3</t>
  </si>
  <si>
    <t>Month 4</t>
  </si>
  <si>
    <t>Month 5</t>
  </si>
  <si>
    <t>Month 6</t>
  </si>
  <si>
    <t>Key Milestone</t>
  </si>
  <si>
    <t>Budget Impact ($)</t>
  </si>
  <si>
    <t>Phase 0</t>
  </si>
  <si>
    <t>Foundation &amp; Procurement</t>
  </si>
  <si>
    <t>██████</t>
  </si>
  <si>
    <t>AWS accounts active, IAM ready, HubStor contract notice served</t>
  </si>
  <si>
    <t>Phase 1</t>
  </si>
  <si>
    <t>Pilot Migration (RMS East US)</t>
  </si>
  <si>
    <t>RMS 914 GiB migrated; Gateway tested; data integrity verified</t>
  </si>
  <si>
    <t>~$500 AWS costs only</t>
  </si>
  <si>
    <t>Phase 2</t>
  </si>
  <si>
    <t>294 TiB US data migrated; US sites cut over to S3 Gateway</t>
  </si>
  <si>
    <t>Phase 3</t>
  </si>
  <si>
    <t>EU UK Region (UKSouth)</t>
  </si>
  <si>
    <t>374 TiB UK data migrated; UK sites cut over</t>
  </si>
  <si>
    <t>Phase 4</t>
  </si>
  <si>
    <t>EU Continent (WestEurope + Germany)</t>
  </si>
  <si>
    <t>398 TiB EU/DE data migrated; all EU sites cut over</t>
  </si>
  <si>
    <t>Phase 5</t>
  </si>
  <si>
    <t>Cutover, Decommission &amp; Optimisation</t>
  </si>
  <si>
    <t>HubStor subscription cancelled; zero Azure Blob spend</t>
  </si>
  <si>
    <t>Cloud Arch / Finance</t>
  </si>
  <si>
    <t>First full month saving realised</t>
  </si>
  <si>
    <t>PHASE 0 — FOUNDATION &amp; PROCUREMENT  (Month 1: Weeks 1-4)</t>
  </si>
  <si>
    <t>Week</t>
  </si>
  <si>
    <t>Task</t>
  </si>
  <si>
    <t>Detail / Notes</t>
  </si>
  <si>
    <t>Success Criteria</t>
  </si>
  <si>
    <t>Review and serve HubStor contract termination notice (verify notice period)</t>
  </si>
  <si>
    <t>Notice period clock starts. If &gt;30 days, adjust plan.</t>
  </si>
  <si>
    <t>CONTRACT NOTICE SERVED</t>
  </si>
  <si>
    <t>AWS Setup</t>
  </si>
  <si>
    <t>Create AWS accounts per region (us-east-1, us-west-2, eu-west-2, eu-west-1, eu-central-1)</t>
  </si>
  <si>
    <t>5 AWS accounts or 1 org with SCPs per region</t>
  </si>
  <si>
    <t>Accounts active</t>
  </si>
  <si>
    <t>Configure IAM: DataSync role, Gateway role, S3 bucket policies, KMS CMKs (1 per region)</t>
  </si>
  <si>
    <t>All permissions least-privilege; tested with CLI</t>
  </si>
  <si>
    <t>IAM complete</t>
  </si>
  <si>
    <t>Create S3 buckets with naming convention, Object Lock (Compliance mode), versioning policy</t>
  </si>
  <si>
    <t>Bucket policy blocks public access; Object Lock enabled on GxP buckets</t>
  </si>
  <si>
    <t>Buckets created</t>
  </si>
  <si>
    <t>Configure S3 lifecycle rules: Archive→Glacier Deep Archive on upload; Cool→Standard-IA</t>
  </si>
  <si>
    <t>Lifecycle rules prevent objects landing in wrong tier</t>
  </si>
  <si>
    <t>Rules active</t>
  </si>
  <si>
    <t>Monitoring</t>
  </si>
  <si>
    <t>Deploy CloudWatch dashboards: cost, storage usage, Gateway health, DataSync job status</t>
  </si>
  <si>
    <t>Alerts configured for 120% budget threshold</t>
  </si>
  <si>
    <t>Dashboards live</t>
  </si>
  <si>
    <t>Week 3</t>
  </si>
  <si>
    <t>Network</t>
  </si>
  <si>
    <t>Gateway VM deployment — install on-prem at WLM (pilot site). Configure NFS/SMB share</t>
  </si>
  <si>
    <t>Network + Cloud</t>
  </si>
  <si>
    <t>VM: m5.xlarge compatible VM on-prem. Attach 1TB EBS cache. Test HTTPS to S3.</t>
  </si>
  <si>
    <t>WLM Gateway online</t>
  </si>
  <si>
    <t>Configure AWS VPC Gateway Endpoint for S3 (free — eliminates NAT Gateway fees if EC2 used)</t>
  </si>
  <si>
    <t>Endpoint policy restricts access to specific buckets</t>
  </si>
  <si>
    <t>VPC endpoint active</t>
  </si>
  <si>
    <t>Week 4</t>
  </si>
  <si>
    <t>Testing</t>
  </si>
  <si>
    <t>End-to-end connectivity test: write test file via Gateway → verify in S3 bucket → retrieve</t>
  </si>
  <si>
    <t>Checksum match confirms data integrity path</t>
  </si>
  <si>
    <t>E2E test PASSED</t>
  </si>
  <si>
    <t>Documentation</t>
  </si>
  <si>
    <t>Finalise migration runbook per site. DataSync job scripts prepared. Rollback plan documented</t>
  </si>
  <si>
    <t>Runbook peer-reviewed</t>
  </si>
  <si>
    <t>Runbook signed off</t>
  </si>
  <si>
    <t>PHASE 1 — PILOT MIGRATION: RMS EAST US FILES  (Month 2: ~914 GiB)</t>
  </si>
  <si>
    <t>Week 5</t>
  </si>
  <si>
    <t>Configure AWS DataSync: source=WLM-PR-FIL-05 Azure Blob, dest=S3 us-east-1 bucket</t>
  </si>
  <si>
    <t>3 DataSync tasks (3 connectors); --storage-class=STANDARD_IA for RMS data</t>
  </si>
  <si>
    <t>DataSync jobs configured</t>
  </si>
  <si>
    <t>Start DataSync transfer. Monitor CloudWatch for transfer rate, errors, throughput</t>
  </si>
  <si>
    <t>Expected: ~200GB/hr → 914 GiB ≈ 5 hours. Run overnight.</t>
  </si>
  <si>
    <t>Transfer started</t>
  </si>
  <si>
    <t>Week 6</t>
  </si>
  <si>
    <t>Validation</t>
  </si>
  <si>
    <t>Post-transfer: S3 Inventory report vs HubStor export — compare object counts and sizes</t>
  </si>
  <si>
    <t>100% object count match required before proceeding</t>
  </si>
  <si>
    <t>Integrity VERIFIED</t>
  </si>
  <si>
    <t>Retrieval test: retrieve 5 random files via S3 Gateway share. Verify content matches</t>
  </si>
  <si>
    <t>All 5 files open correctly; no corruption</t>
  </si>
  <si>
    <t>Retrieval PASSED</t>
  </si>
  <si>
    <t>Cutover</t>
  </si>
  <si>
    <t>Update WLM-RMS connector to point to S3 File Gateway NFS share (change target path only)</t>
  </si>
  <si>
    <t>App Teams / Network</t>
  </si>
  <si>
    <t>Connector writes to S3 from this point; reads via Gateway cache</t>
  </si>
  <si>
    <t>Connector switched</t>
  </si>
  <si>
    <t>Week 7</t>
  </si>
  <si>
    <t>Monitor RMS connector for 1 week: write speed, retrieval latency, error rate</t>
  </si>
  <si>
    <t>Target: &lt;5s for cached reads; &lt;30min for uncached archive fetch</t>
  </si>
  <si>
    <t>1-week soak PASS</t>
  </si>
  <si>
    <t>Week 8</t>
  </si>
  <si>
    <t>Review</t>
  </si>
  <si>
    <t>Pilot retrospective: document lessons, adjust runbook, confirm Phase 2 go/no-go</t>
  </si>
  <si>
    <t>Signed go/no-go decision gate</t>
  </si>
  <si>
    <t>GO/NO-GO DECISION</t>
  </si>
  <si>
    <t>PHASE 2 — US REGIONS: EastUS2 + WestUS2  (Month 3: ~294 TiB)</t>
  </si>
  <si>
    <t>Week 9</t>
  </si>
  <si>
    <t>Begin archive rehydration for Safety Assessment East US (119 TiB archive). Submit rehydration job.</t>
  </si>
  <si>
    <t>Azure Standard rehydration = up to 15hr. Batch by stor group.</t>
  </si>
  <si>
    <t>Rehydration started</t>
  </si>
  <si>
    <t>Deploy Gateway VM at MWN site (Safety Assessment). Configure connectors.</t>
  </si>
  <si>
    <t>Mirror WLM setup. Same EBS cache size. Test connectivity.</t>
  </si>
  <si>
    <t>MWN Gateway ready</t>
  </si>
  <si>
    <t>Deploy Gateway VM at RNO site (Safety Assessment West). Configure connectors.</t>
  </si>
  <si>
    <t>RNO covers WestUS2 data.</t>
  </si>
  <si>
    <t>RNO Gateway ready</t>
  </si>
  <si>
    <t>Week 10</t>
  </si>
  <si>
    <t>Start DataSync jobs: Microbial East US (25 TiB), RMS sub-stores remaining</t>
  </si>
  <si>
    <t>Run overnight. Monitor DataSync CloudWatch dashboard.</t>
  </si>
  <si>
    <t>Microbial migrated</t>
  </si>
  <si>
    <t>Start DataSync jobs: Safety Assessment East US (after rehydration completes)</t>
  </si>
  <si>
    <t>122 TiB total. Largest US store. May take 2-3 nights.</t>
  </si>
  <si>
    <t>SA East migrated</t>
  </si>
  <si>
    <t>Week 11</t>
  </si>
  <si>
    <t>Start DataSync jobs: Safety Assessment West US (72 TiB WestUS2 data)</t>
  </si>
  <si>
    <t>RNO connector data. Run over 2 nights.</t>
  </si>
  <si>
    <t>SA West migrated</t>
  </si>
  <si>
    <t>S3 Inventory cross-check for all US stores. Fix any gaps.</t>
  </si>
  <si>
    <t>Zero discrepancy required</t>
  </si>
  <si>
    <t>US inventory matched</t>
  </si>
  <si>
    <t>Week 12</t>
  </si>
  <si>
    <t>Switch all US site connectors to S3 Gateway. Disable Azure write access to US Blob containers.</t>
  </si>
  <si>
    <t>Connectors: APO-PR-APP-02 to 09, MWN-PR-FIL-01, WLM-PR-FIL-05</t>
  </si>
  <si>
    <t>US sites LIVE on S3</t>
  </si>
  <si>
    <t>PHASE 3 — EU UK: UKSouth  (Month 4: ~374 TiB)</t>
  </si>
  <si>
    <t>Week 13</t>
  </si>
  <si>
    <t>Deploy Gateway VM in UK DC (PTH/Portishead or EDI/Edinburgh). Configure eu-west-2 bucket.</t>
  </si>
  <si>
    <t>UK data must stay in eu-west-2 (London). Enforce with SCP.</t>
  </si>
  <si>
    <t>UK Gateway ready</t>
  </si>
  <si>
    <t>Begin Early Discovery UK rehydration (242 TiB archive in UKSouth — largest single store)</t>
  </si>
  <si>
    <t>Submit Azure rehydration. Expect 15-20 hours. Plan 2-3 day window.</t>
  </si>
  <si>
    <t>Rehydration queued</t>
  </si>
  <si>
    <t>Week 14</t>
  </si>
  <si>
    <t>Start DataSync: Portishead Discovery (26 TiB). Run overnight.</t>
  </si>
  <si>
    <t>PTH-Discovery connector data.</t>
  </si>
  <si>
    <t>PTH migrated</t>
  </si>
  <si>
    <t>Start DataSync: Safety Assessment UK (525 GiB). Quick transfer.</t>
  </si>
  <si>
    <t>EDI-SafetyAssessment — small store.</t>
  </si>
  <si>
    <t>EDI migrated</t>
  </si>
  <si>
    <t>Week 15</t>
  </si>
  <si>
    <t>Start DataSync: Early Discovery UK (325 TiB total after rehydration)</t>
  </si>
  <si>
    <t>Largest EU store. Will take 3-4 nights. CRP (325 TiB) + HAR (17 TiB).</t>
  </si>
  <si>
    <t>UK Early Discovery migrated</t>
  </si>
  <si>
    <t>Week 16</t>
  </si>
  <si>
    <t>UK S3 Inventory cross-check. Validate Object Lock applied to regulated data.</t>
  </si>
  <si>
    <t>Migration + QA</t>
  </si>
  <si>
    <t>QA sign-off required for GxP stores</t>
  </si>
  <si>
    <t>UK inventory + GxP PASS</t>
  </si>
  <si>
    <t>Switch UK connectors to S3 Gateway. Verify GDPR data residency in eu-west-2.</t>
  </si>
  <si>
    <t>App Teams / Legal</t>
  </si>
  <si>
    <t>Connectors: APO-PR-APP-03,04,11,12,14; MWN-PR-FIL-01</t>
  </si>
  <si>
    <t>UK LIVE on S3</t>
  </si>
  <si>
    <t>PHASE 4 — EU CONTINENT: WestEurope + GermanyWestCentral  (Month 5: ~398 TiB)</t>
  </si>
  <si>
    <t>Week 17</t>
  </si>
  <si>
    <t>Deploy Gateway VMs: Leiden NL (LEI) → eu-west-1 bucket; Freiburg DE (FRI) → eu-central-1</t>
  </si>
  <si>
    <t>German data MUST use eu-central-1 (Frankfurt). SCP enforced.</t>
  </si>
  <si>
    <t>EU/DE Gateways ready</t>
  </si>
  <si>
    <t>Begin Early Discovery NL rehydration (258 TiB archive). Submit to Azure.</t>
  </si>
  <si>
    <t>WestEurope LEI-EarlyDiscovery. Largest EU store.</t>
  </si>
  <si>
    <t>NL rehydration queued</t>
  </si>
  <si>
    <t>Week 18</t>
  </si>
  <si>
    <t>Start DataSync: Discovery NL (3.9 TiB), Safety Assessment NL (18 TiB), Discovery HU (35 GiB)</t>
  </si>
  <si>
    <t>Smaller stores first. Validate before tackling large NL store.</t>
  </si>
  <si>
    <t>Small EU stores migrated</t>
  </si>
  <si>
    <t>Start DataSync: Discovery DE (49 TiB into eu-central-1/Frankfurt)</t>
  </si>
  <si>
    <t>FRI-Discovery. German data stays in DE. Validate region after.</t>
  </si>
  <si>
    <t>DE migrated</t>
  </si>
  <si>
    <t>Week 19</t>
  </si>
  <si>
    <t>Start DataSync: Discovery FI (38 TiB into eu-west-1)</t>
  </si>
  <si>
    <t>KUO-Discovery. Finnish data via Amsterdam region.</t>
  </si>
  <si>
    <t>FI migrated</t>
  </si>
  <si>
    <t>Start DataSync: Early Discovery NL (286 TiB after rehydration)</t>
  </si>
  <si>
    <t>Biggest EU migration. Run over 4-5 nights.</t>
  </si>
  <si>
    <t>NL Early Discovery migrated</t>
  </si>
  <si>
    <t>Week 20</t>
  </si>
  <si>
    <t>Full EU inventory cross-check. German data residency confirmed. FR/NL/FI/HU data in eu-west-1.</t>
  </si>
  <si>
    <t>Migration + Legal</t>
  </si>
  <si>
    <t>Data residency audit report produced</t>
  </si>
  <si>
    <t>EU inventory + residency PASS</t>
  </si>
  <si>
    <t>Switch all EU connectors to S3 Gateway. Disable Azure EU Blob write access.</t>
  </si>
  <si>
    <t>All APO and FIL connectors for EU sites</t>
  </si>
  <si>
    <t>ALL EU LIVE on S3</t>
  </si>
  <si>
    <t>PHASE 5 — CUTOVER, DECOMMISSION &amp; OPTIMISATION  (Month 6)</t>
  </si>
  <si>
    <t>Week 21</t>
  </si>
  <si>
    <t>Final validation: all sites reading/writing from S3 for 2 weeks. Zero Azure Blob writes.</t>
  </si>
  <si>
    <t>CloudWatch confirms 0 bytes written to Azure</t>
  </si>
  <si>
    <t>Zero-Azure confirmed</t>
  </si>
  <si>
    <t>Run full S3 Inventory vs original HubStor Master Report — final count match</t>
  </si>
  <si>
    <t>100% object count and size match required</t>
  </si>
  <si>
    <t>FINAL INTEGRITY PASS</t>
  </si>
  <si>
    <t>Submit HubStor subscription cancellation. Provide data deletion confirmation if required.</t>
  </si>
  <si>
    <t>Finance / Legal</t>
  </si>
  <si>
    <t>Contract termination executed. Confirm no auto-renewal.</t>
  </si>
  <si>
    <t>HubStor CANCELLED</t>
  </si>
  <si>
    <t>Week 22</t>
  </si>
  <si>
    <t>Terminate Azure Blob Storage accounts (all 5 regions). Download final invoices.</t>
  </si>
  <si>
    <t>Finance / Cloud Arch</t>
  </si>
  <si>
    <t>Azure cost stops. Final invoice received.</t>
  </si>
  <si>
    <t>Azure Blob TERMINATED</t>
  </si>
  <si>
    <t>Optimisation</t>
  </si>
  <si>
    <t>Enable S3 Storage Lens — review storage efficiency, lifecycle policy effectiveness</t>
  </si>
  <si>
    <t>Identify any objects in wrong tier; fix lifecycle rules</t>
  </si>
  <si>
    <t>Storage Lens active</t>
  </si>
  <si>
    <t>Enable Cost Anomaly Detection — alert if AWS bill exceeds $X,000</t>
  </si>
  <si>
    <t>Anomaly detector configured; tested with manual trigger</t>
  </si>
  <si>
    <t>Cost alerts live</t>
  </si>
  <si>
    <t>Week 23</t>
  </si>
  <si>
    <t>First clean month: AWS-only bill. Reconcile vs cost model. Report actual vs projected saving.</t>
  </si>
  <si>
    <t>Report to stakeholders: actual vs $30,961 monthly saving target</t>
  </si>
  <si>
    <t>Month 1 saving report</t>
  </si>
  <si>
    <t>Week 24</t>
  </si>
  <si>
    <t>Closeout</t>
  </si>
  <si>
    <t>Migration project retrospective. Update runbooks. Archive project docs. Celebrate! 🎉</t>
  </si>
  <si>
    <t>Lessons learned documented; team recognised</t>
  </si>
  <si>
    <t>PROJECT CLOSED</t>
  </si>
  <si>
    <t>FINANCIAL MODEL — Jun 2026 to Dec 2030  |  Migration Period + 4-Year AWS TCO</t>
  </si>
  <si>
    <t>Jul 1 – Dec 31 2026: RAMPED migration — AWS grows as data moves. Jan 2027: full AWS saving realised.</t>
  </si>
  <si>
    <t>MODEL INPUTS — all linked to Assumptions &amp; Cost Comparison (change values there)</t>
  </si>
  <si>
    <t>HubStor + Azure monthly cost (incl. Backup/DataBox $3,000/mo)</t>
  </si>
  <si>
    <t>AWS Total monthly — storage + Gateway appliance + all infra</t>
  </si>
  <si>
    <t>One-time migration cost (total)</t>
  </si>
  <si>
    <t>Annual data growth rate (applied from 2028 onwards)</t>
  </si>
  <si>
    <t>Monthly saving once fully on AWS  (B5 − B6)</t>
  </si>
  <si>
    <t>Migration period (months: Jun–Dec 2026)</t>
  </si>
  <si>
    <t>AWS costs already paid during migration overlap (Jul–Dec 2026)</t>
  </si>
  <si>
    <t>Sum of AWS ramp-up costs during migration (Jul–Dec). These must also be recovered from savings.</t>
  </si>
  <si>
    <t>Payback — months from Jan 2027  (migration cost + AWS overlap ÷ monthly saving)</t>
  </si>
  <si>
    <t>PHASE 1 — MIGRATION PERIOD  (Jul 1, 2026 – Dec 31, 2026)  | AWS ramps up month by month  |  HubStor steps down as Azure regions deleted from Oct</t>
  </si>
  <si>
    <t>Migration cost distributed across 6 months by activity: data-transfer costs follow the data ramp  |  gateway installs match each site go-live  |  testing &amp; decommission back-loaded to Nov–Dec</t>
  </si>
  <si>
    <t>Calendar Month</t>
  </si>
  <si>
    <t>HubStor + Azure ($)
[ramps ↓ from Oct]</t>
  </si>
  <si>
    <t>AWS Total ($)
[ramps ↑ all 6 months]</t>
  </si>
  <si>
    <t>Combined Spend ($)</t>
  </si>
  <si>
    <t>Migration Cost ($)
[distributed by activity]</t>
  </si>
  <si>
    <t>Migration Cost — What's included</t>
  </si>
  <si>
    <t>Net Cumulative Saving ($)
[vs doing nothing]</t>
  </si>
  <si>
    <t>Jul 2026</t>
  </si>
  <si>
    <t>1 Gateway EC2 live (WLM pilot). S3~33%. DataSync migrating US-East.</t>
  </si>
  <si>
    <t>Aug 2026</t>
  </si>
  <si>
    <t>2 Gateway ECs live (WLM+MWN). S3~61%. DataSync US regions.</t>
  </si>
  <si>
    <t>Sep 2026</t>
  </si>
  <si>
    <t>3 Gateway ECs live (+CRP/UK). S3~99%. DataSync EU-UK.</t>
  </si>
  <si>
    <t>Oct 2026</t>
  </si>
  <si>
    <t>4 Gateway ECs live (+FRI). S3 rebuilding after WestUS2+DE deletions.</t>
  </si>
  <si>
    <t>Nov 2026</t>
  </si>
  <si>
    <t>5 Gateway ECs live (all sites). S3~98%. UKSouth+EastUS2 deleted.</t>
  </si>
  <si>
    <t>Dec 2026</t>
  </si>
  <si>
    <t>All 5 Gateways. S3=100%. All Azure decommissioned. Full steady state.</t>
  </si>
  <si>
    <t>6 mo</t>
  </si>
  <si>
    <t>MIGRATION TOTAL  Jul–Dec 2026</t>
  </si>
  <si>
    <t>↑ Extra cost vs doing nothing = AWS overlap ($24,791) + migration ($121,370) = $146,161  |  Payback ~4.5 months from Jan 2027 ≈ May 2027</t>
  </si>
  <si>
    <t>Migration cost breakdown:  Jul $24,054 (setup+20% data)  |  Aug $17,353 (15% data)  |  Sep $28,555 (25% data — UK batch)  |  Oct $23,284 (20% data)  |  Nov $14,982 (12% data+testing)  |  Dec $13,142 (8% data+decomm)  →  Total = $121,370</t>
  </si>
  <si>
    <t>PHASE 2 — AWS ONLY  (Jan 2027 – Dec 2030)  |  HubStor fully terminated.  Azure Blob = $0.  Pure AWS spend.</t>
  </si>
  <si>
    <t>AWS storage grows with data volume: 5% per year from 2028. Column E = monthly saving vs current HubStor baseline.</t>
  </si>
  <si>
    <t>HubStor + Azure ($)
[= $0 from Jan 2027]</t>
  </si>
  <si>
    <t>AWS Total ($)</t>
  </si>
  <si>
    <t>Monthly Saving vs HubStor ($)</t>
  </si>
  <si>
    <t>Cumul. Saving since Jan 2027 ($)</t>
  </si>
  <si>
    <t>Net Cumulative Saving ($)
[negative = recovering investment
positive = net ahead vs doing nothing]</t>
  </si>
  <si>
    <t>Jan 2027</t>
  </si>
  <si>
    <t>Feb 2027</t>
  </si>
  <si>
    <t>Mar 2027</t>
  </si>
  <si>
    <t>Apr 2027</t>
  </si>
  <si>
    <t>May 2027</t>
  </si>
  <si>
    <t>Jun 2027</t>
  </si>
  <si>
    <t>Jul 2027</t>
  </si>
  <si>
    <t>Aug 2027</t>
  </si>
  <si>
    <t>Sep 2027</t>
  </si>
  <si>
    <t>Oct 2027</t>
  </si>
  <si>
    <t>Nov 2027</t>
  </si>
  <si>
    <t>Dec 2027</t>
  </si>
  <si>
    <t>Jan 2028</t>
  </si>
  <si>
    <t>Feb 2028</t>
  </si>
  <si>
    <t>Mar 2028</t>
  </si>
  <si>
    <t>Apr 2028</t>
  </si>
  <si>
    <t>May 2028</t>
  </si>
  <si>
    <t>Jun 2028</t>
  </si>
  <si>
    <t>Jul 2028</t>
  </si>
  <si>
    <t>Aug 2028</t>
  </si>
  <si>
    <t>Sep 2028</t>
  </si>
  <si>
    <t>Oct 2028</t>
  </si>
  <si>
    <t>Nov 2028</t>
  </si>
  <si>
    <t>Dec 2028</t>
  </si>
  <si>
    <t>Jan 2029</t>
  </si>
  <si>
    <t>Feb 2029</t>
  </si>
  <si>
    <t>Mar 2029</t>
  </si>
  <si>
    <t>Apr 2029</t>
  </si>
  <si>
    <t>May 2029</t>
  </si>
  <si>
    <t>Jun 2029</t>
  </si>
  <si>
    <t>Jul 2029</t>
  </si>
  <si>
    <t>Aug 2029</t>
  </si>
  <si>
    <t>Sep 2029</t>
  </si>
  <si>
    <t>Oct 2029</t>
  </si>
  <si>
    <t>Nov 2029</t>
  </si>
  <si>
    <t>Dec 2029</t>
  </si>
  <si>
    <t>Jan 2030</t>
  </si>
  <si>
    <t>Feb 2030</t>
  </si>
  <si>
    <t>Mar 2030</t>
  </si>
  <si>
    <t>Apr 2030</t>
  </si>
  <si>
    <t>May 2030</t>
  </si>
  <si>
    <t>Jun 2030</t>
  </si>
  <si>
    <t>Jul 2030</t>
  </si>
  <si>
    <t>Aug 2030</t>
  </si>
  <si>
    <t>Sep 2030</t>
  </si>
  <si>
    <t>Oct 2030</t>
  </si>
  <si>
    <t>Nov 2030</t>
  </si>
  <si>
    <t>Dec 2030</t>
  </si>
  <si>
    <t>ANNUAL SUMMARY</t>
  </si>
  <si>
    <t>Calendar Year</t>
  </si>
  <si>
    <t>HubStor + Azure ($)</t>
  </si>
  <si>
    <t>Gross Saving ($)</t>
  </si>
  <si>
    <t>Migration / One-time ($)</t>
  </si>
  <si>
    <t>Net Saving ($)</t>
  </si>
  <si>
    <t>Cumul. Net Saving ($)</t>
  </si>
  <si>
    <t>Row reference</t>
  </si>
  <si>
    <t>Jul–Dec 2026 (migration)</t>
  </si>
  <si>
    <t>-</t>
  </si>
  <si>
    <t>R17–R22</t>
  </si>
  <si>
    <t>Year 1</t>
  </si>
  <si>
    <t>Jan–Dec 2027</t>
  </si>
  <si>
    <t>R29–R40</t>
  </si>
  <si>
    <t>Year 2</t>
  </si>
  <si>
    <t>Jan–Dec 2028</t>
  </si>
  <si>
    <t>R41–R52</t>
  </si>
  <si>
    <t>Year 3</t>
  </si>
  <si>
    <t>Jan–Dec 2029</t>
  </si>
  <si>
    <t>R53–R64</t>
  </si>
  <si>
    <t>Year 4</t>
  </si>
  <si>
    <t>Jan–Dec 2030</t>
  </si>
  <si>
    <t>R65–R76</t>
  </si>
  <si>
    <t>Jun 2026 – Dec 2030</t>
  </si>
  <si>
    <t>R17–R76</t>
  </si>
  <si>
    <t>MIGRATION ARCHITECTURE  —  AWS S3 File Gateway VM (EC2 t3.xlarge per site, recurring monthly)</t>
  </si>
  <si>
    <t>PROPOSAL: File Gateway VM on EC2 t3.xlarge at each of the 5 sites.  RECURRING cost: $130/mo/site × 5 = $650/mo from the moment each gateway goes live.  MIGRATION (Jul–Dec 2026): DataSync migrates historical data Azure→S3; Gateway handles new writes from cutover.  POST-MIGRATION (Jan 2027+): Gateway is sole connectivity layer. AWS Total = $4,496/mo.</t>
  </si>
  <si>
    <t>DIAGRAM 1 — MIGRATION PERIOD  (Jul–Dec 2026)  |  DataSync migrates historical data  |  Gateway EC2 launched per-site, handles new writes</t>
  </si>
  <si>
    <t>DataSync (EC2 agent in AWS) migrates all Azure Blob data directly to S3 — Gateway not used for this.  File Gateway EC2 launched site-by-site during migration; recurring $130/mo charge starts immediately.  Gateway starts serving new writes from each site on its cutover date.</t>
  </si>
  <si>
    <t>MIGRATION COST VALIDATION — One-time costs (Jul–Dec 2026)</t>
  </si>
  <si>
    <t>Component</t>
  </si>
  <si>
    <t>Role</t>
  </si>
  <si>
    <t>One-time cost</t>
  </si>
  <si>
    <t>How it works</t>
  </si>
  <si>
    <t>Note</t>
  </si>
  <si>
    <t>AWS DataSync</t>
  </si>
  <si>
    <t>REQUIRED — migration tool</t>
  </si>
  <si>
    <t>$14,321</t>
  </si>
  <si>
    <t>Reads Azure Blob → writes to S3. EC2 agent in AWS. $0.0125/GB × 1,145,641 GB.</t>
  </si>
  <si>
    <t>✅ Stops when migration completes.</t>
  </si>
  <si>
    <t>Azure retrieval fees</t>
  </si>
  <si>
    <t>REQUIRED — unavoidable</t>
  </si>
  <si>
    <t>$22,739</t>
  </si>
  <si>
    <t>Azure charges: Cool $0.01/GB · Cold $0.03/GB · Archive $0.022/GB. Standard/Hot = free.</t>
  </si>
  <si>
    <t>✅ Negotiate Azure egress waiver first.</t>
  </si>
  <si>
    <t>Azure egress charges</t>
  </si>
  <si>
    <t>$64,645</t>
  </si>
  <si>
    <t>Azure internet egress Azure→S3. Tiered $0.087→$0.05/GB.</t>
  </si>
  <si>
    <t>⚠  Request Azure credits — could save $30–60K.</t>
  </si>
  <si>
    <t>File Gateway EC2 setup — 5 sites</t>
  </si>
  <si>
    <t>REQUIRED — launch during migration</t>
  </si>
  <si>
    <t>$2,500</t>
  </si>
  <si>
    <t>$500/site IT config × 5. Launch EC2 t3.xlarge, install Gateway, configure NFS/SMB shares.</t>
  </si>
  <si>
    <t>✅ Recurring $130/mo/site starts on launch. Gateway handles new writes, not migration data.</t>
  </si>
  <si>
    <t>IAM · KMS · S3 bucket config</t>
  </si>
  <si>
    <t>REQUIRED — Week 1</t>
  </si>
  <si>
    <t>$1,500</t>
  </si>
  <si>
    <t>5 S3 buckets, lifecycle, Object Lock, IAM roles, KMS CMKs.</t>
  </si>
  <si>
    <t>✅ Complete before DataSync starts.</t>
  </si>
  <si>
    <t>S3 PUT requests</t>
  </si>
  <si>
    <t>REQUIRED — ingestion</t>
  </si>
  <si>
    <t>$436</t>
  </si>
  <si>
    <t>$0.005–$0.05/1K objects. PUT directly to target storage class.</t>
  </si>
  <si>
    <t>✅ Use --storage-class flag in DataSync.</t>
  </si>
  <si>
    <t>Testing · UAT · HubStor decommission</t>
  </si>
  <si>
    <t>REQUIRED</t>
  </si>
  <si>
    <t>$5,000</t>
  </si>
  <si>
    <t>UAT $3,000 + HubStor contract decommission $2,000.</t>
  </si>
  <si>
    <t>✅ 100% object match before each cutover.</t>
  </si>
  <si>
    <t>Contingency 10%</t>
  </si>
  <si>
    <t>RECOMMENDED</t>
  </si>
  <si>
    <t>$10,921</t>
  </si>
  <si>
    <t>10% buffer for egress spikes, retries, delays.</t>
  </si>
  <si>
    <t>✅ Standard for cross-cloud migrations.</t>
  </si>
  <si>
    <t>GRAND TOTAL — ONE-TIME</t>
  </si>
  <si>
    <t>~$121,062</t>
  </si>
  <si>
    <t>Note: Gateway EC2 recurring cost ($650/mo) is separate — starts during migration, continues permanently.</t>
  </si>
  <si>
    <t>DIAGRAM 2 — POST-MIGRATION STEADY STATE  (Jan 2027+)  |  Gateway EC2 $650/mo recurring  |  AWS Total = $4,496/mo</t>
  </si>
  <si>
    <t>File Gateway EC2 t3.xlarge ($130/mo/site × 5 = $650/mo) is a permanent RECURRING cost — same as paying for any cloud VM.  This is the price of replacing HubStor connectors with a managed AWS connectivity layer.  AWS Total = S3 $3,608 + Gateway EC2 $650 + ops $238 = $4,496/mo.  This is consistent across Cost Comparison B39, Financial Model B6, and Executive Summary KPI tile.</t>
  </si>
  <si>
    <t>ONGOING AWS COST VALIDATION — Monthly recurring from Jan 2027  |  $4,496/mo total</t>
  </si>
  <si>
    <t>Needed?</t>
  </si>
  <si>
    <t>Unit/mo</t>
  </si>
  <si>
    <t>Monthly</t>
  </si>
  <si>
    <t>Annual</t>
  </si>
  <si>
    <t>S3 storage — all 5 tiers</t>
  </si>
  <si>
    <t>YES</t>
  </si>
  <si>
    <t>1,041.7 TiB</t>
  </si>
  <si>
    <t>$3,608</t>
  </si>
  <si>
    <t>$43,296</t>
  </si>
  <si>
    <t>Core storage. Standard/IA/Glacier IR/Deep Archive. Grows 5%/yr from 2028.</t>
  </si>
  <si>
    <t>File Gateway EC2 — t3.xlarge × 5</t>
  </si>
  <si>
    <t>YES — RECURRING</t>
  </si>
  <si>
    <t>×5 EC2</t>
  </si>
  <si>
    <t>$130</t>
  </si>
  <si>
    <t>$650</t>
  </si>
  <si>
    <t>$7,800</t>
  </si>
  <si>
    <t>RECURRING monthly. EC2 compute for File Gateway VM at each site. Permanent connectivity layer.</t>
  </si>
  <si>
    <t>Hardware Appliance</t>
  </si>
  <si>
    <t>NOT PURCHASED</t>
  </si>
  <si>
    <t>Physical unit not purchased. EC2 instance used instead. Assumptions C51=$130 (EC2 cost).</t>
  </si>
  <si>
    <t>CloudWatch</t>
  </si>
  <si>
    <t>$31</t>
  </si>
  <si>
    <t>$372</t>
  </si>
  <si>
    <t>Dashboards, alarms, cost anomaly detection.</t>
  </si>
  <si>
    <t>KMS keys</t>
  </si>
  <si>
    <t>5 keys</t>
  </si>
  <si>
    <t>$1</t>
  </si>
  <si>
    <t>$5</t>
  </si>
  <si>
    <t>$60</t>
  </si>
  <si>
    <t>SSE-KMS per region.</t>
  </si>
  <si>
    <t>SNS alerts</t>
  </si>
  <si>
    <t>$2</t>
  </si>
  <si>
    <t>$24</t>
  </si>
  <si>
    <t>Budget and Gateway health alerts.</t>
  </si>
  <si>
    <t>AWS Config</t>
  </si>
  <si>
    <t>$10</t>
  </si>
  <si>
    <t>$120</t>
  </si>
  <si>
    <t>S3 compliance monitoring.</t>
  </si>
  <si>
    <t>S3 API operations</t>
  </si>
  <si>
    <t>$65</t>
  </si>
  <si>
    <t>$780</t>
  </si>
  <si>
    <t>PUTs from Gateway + GETs for retrieval.</t>
  </si>
  <si>
    <t>Glacier retrieval</t>
  </si>
  <si>
    <t>$86</t>
  </si>
  <si>
    <t>$1,032</t>
  </si>
  <si>
    <t>0.5% of archive/mo × $0.02/GB.</t>
  </si>
  <si>
    <t>Internet egress</t>
  </si>
  <si>
    <t>$39</t>
  </si>
  <si>
    <t>$468</t>
  </si>
  <si>
    <t>~10% retrieved externally.</t>
  </si>
  <si>
    <t>S3 Transfer Acceleration</t>
  </si>
  <si>
    <t>NOT NEEDED</t>
  </si>
  <si>
    <t>Standard HTTPS sufficient.</t>
  </si>
  <si>
    <t>DataSync</t>
  </si>
  <si>
    <t>STOPPED</t>
  </si>
  <si>
    <t>Migration done. EC2 agent terminated.</t>
  </si>
  <si>
    <t>AWS TOTAL  (Jan 2027+)</t>
  </si>
  <si>
    <t>$4,496/mo</t>
  </si>
  <si>
    <t>$53,952/yr</t>
  </si>
  <si>
    <t>S3 $3,608 + Gateway EC2 $650 + CW $31 + KMS $5 + SNS $2 + Config $10 + API $65 + Glacier $86 + Egress $39 = $4,496</t>
  </si>
  <si>
    <t>AWS S3 TARGET ARCHITECTURE — CONNECTIVITY &amp; ACCESS DESIGN</t>
  </si>
  <si>
    <t>Full HubStor replacement | S3 File Gateway replaces all HubStor connectors | Data residency preserved per region</t>
  </si>
  <si>
    <t>STORAGE GATEWAY — HOW SITES CONNECT TO S3 POST-MIGRATION (replaces HubStor connectors)</t>
  </si>
  <si>
    <t>Pattern</t>
  </si>
  <si>
    <t>AWS S3 File Gateway (NFS/SMB shares) → replaces every HubStor connector agent at each site. S3-compatible. No application changes needed.</t>
  </si>
  <si>
    <t>What it is</t>
  </si>
  <si>
    <t>AWS S3 File Gateway (software VM) deployed on CRL's EXISTING on-prem server at each site (VMware / Hyper-V / KVM — same servers that run HubStor connector agents today). Presents NFS or SMB file shares to local applications. Caches recent files locally (1TB on existing server disk). Uploads new files to S3 automatically over HTTPS. NO Hardware Appliance purchased. Software is free — only S3 storage costs apply.</t>
  </si>
  <si>
    <t>Archiving flow</t>
  </si>
  <si>
    <t>Application saves file → File Gateway share → Gateway caches locally → Compresses &amp; uploads to S3 bucket (correct storage class via lifecycle rule) → File stays accessible via share (cached read).</t>
  </si>
  <si>
    <t>Retrieval flow</t>
  </si>
  <si>
    <t>User requests file from Gateway share → Gateway checks local 1TB EBS cache → If cached: instant return → If not cached: fetches from S3 (Standard-IA: ms; Glacier IR: ms; Deep Archive: restore first ~12-48hr) → Returns file.</t>
  </si>
  <si>
    <t>Sites &amp; VMs</t>
  </si>
  <si>
    <t>5 Gateway VMs required:
• WLM (EastUS2) → us-east-1
• RNO (WestUS2) → us-west-2
• UK sites (UKSouth) → eu-west-2
• NL/EU sites (WestEurope) → eu-west-1
• DE site (GermanyWestCentral) → eu-central-1</t>
  </si>
  <si>
    <t>HubStor connectors replaced</t>
  </si>
  <si>
    <t>All 17+ DPI connectors (APO-PR-APP-*), NAS connectors (MWN-PR-FIL-01, WLM-PR-FIL-05), and test connectors replaced by gateway shares. One Gateway per site serves all connectors at that site.</t>
  </si>
  <si>
    <t>Migration tool</t>
  </si>
  <si>
    <t>AWS DataSync for bulk one-time migration (Azure Blob → S3). DataSync handles checksums, retry, parallelism. Post-migration: Gateway handles all incremental writes; DataSync not needed.</t>
  </si>
  <si>
    <t>S3 BUCKET STRATEGY</t>
  </si>
  <si>
    <t>Bucket per region (5 buckets)</t>
  </si>
  <si>
    <t>us-east-1: company-archive-us-east / us-west-2: company-archive-us-west / eu-west-2: company-archive-uk / eu-west-1: company-archive-eu / eu-central-1: company-archive-de</t>
  </si>
  <si>
    <t>Prefix / key structure</t>
  </si>
  <si>
    <t>s3://company-archive-{region}/{site-code}/{stor-name}/{year}/{month}/{filename}  e.g., s3://company-archive-uk/CRP/EarlyDiscovery/2024/03/sample.raw</t>
  </si>
  <si>
    <t>Storage class mapping</t>
  </si>
  <si>
    <t>Standard/Hot → S3 Standard | Cool → S3 Standard-IA (lifecycle Day 0) | Cold → S3 Glacier Instant Retrieval | Archive → S3 Glacier Deep Archive (PUT directly via --storage-class)</t>
  </si>
  <si>
    <t>Lifecycle rules</t>
  </si>
  <si>
    <t>Lifecycle rule 1: Objects with tag tier=cool → Standard-IA immediately. Rule 2: Objects with tag tier=archive → Glacier Deep Archive immediately. Rule 3: Incomplete multipart uploads → abort after 7 days.</t>
  </si>
  <si>
    <t>Object Lock (GxP data)</t>
  </si>
  <si>
    <t>Enable S3 Object Lock in Compliance mode on buckets holding GxP-regulated data (Safety Assessment, Microbial). Retention period = defined by QA/Regulatory team. Objects cannot be deleted or modified during retention.</t>
  </si>
  <si>
    <t>Versioning</t>
  </si>
  <si>
    <t>Enable ONLY on compliance/GxP buckets. Do NOT enable on pure archive buckets (versioning doubles storage cost for every overwrite).</t>
  </si>
  <si>
    <t>Encryption</t>
  </si>
  <si>
    <t>SSE-S3 (AES-256) at zero extra cost as baseline. Upgrade to SSE-KMS for GxP data requiring audit trail of key access. 1 KMS CMK per region = $5/month total.</t>
  </si>
  <si>
    <t>VPC Gateway Endpoint</t>
  </si>
  <si>
    <t>Deploy free S3 VPC Gateway Endpoint in each AWS region to route S3 traffic within AWS backbone — eliminates NAT Gateway data processing charges if any EC2-based processing is added later.</t>
  </si>
  <si>
    <t>CONNECTIVITY OPTIONS</t>
  </si>
  <si>
    <t>Option A — HTTPS/TLS (Recommended, chosen for this design)</t>
  </si>
  <si>
    <t>Gateway VM uploads to S3 public endpoint over port 443 (HTTPS). Data is encrypted in transit (TLS 1.2+). No additional cost. All current sites have reliable internet. This is the chosen architecture.</t>
  </si>
  <si>
    <t>Option B — AWS Site-to-Site VPN (optional add-on)</t>
  </si>
  <si>
    <t>~$0.05/hr per VPN connection = $36/mo. Use if security policy requires private connectivity. Can be added after cutover. Transit cost ~$0.01/GB within AWS. NOT required for launch.</t>
  </si>
  <si>
    <t>Option C — AWS Direct Connect (optional premium)</t>
  </si>
  <si>
    <t>Dedicated 1Gbps circuit ~$200-500/mo port cost. Use only if bandwidth becomes a demonstrated bottleneck after 3 months on Option A. Overkill for archive workloads.</t>
  </si>
  <si>
    <t>Launch with Option A. Monitor Gateway CloudWatch metric WriteBytesPerSecond. If consistently &gt;50MB/s sustained and latency is causing issues, evaluate Option B as next step.</t>
  </si>
  <si>
    <t>REGION MAPPING — AZURE → AWS (data residency preserved)</t>
  </si>
  <si>
    <t>Azure EastUS2 (Virginia, USA)</t>
  </si>
  <si>
    <t>→  AWS us-east-1 (N. Virginia)  |  Sites: MWN, WLM  |  Safety Assessment East, Microbial, RMS</t>
  </si>
  <si>
    <t>Azure WestUS2 (Washington, USA)</t>
  </si>
  <si>
    <t>→  AWS us-west-2 (Oregon)       |  Sites: RNO  |  Safety Assessment West</t>
  </si>
  <si>
    <t>Azure UKSouth (London, UK)</t>
  </si>
  <si>
    <t>→  AWS eu-west-2 (London)       |  Sites: CRP, HAR, PTH, EDI  |  UK data stays in UK ✓</t>
  </si>
  <si>
    <t>Azure WestEurope (Amsterdam, NL)</t>
  </si>
  <si>
    <t>→  AWS eu-west-1 (Ireland)      |  Sites: LEI, HER, GRO, KUO, SZG, FRE, LYO, EVR  |  EU data stays in EU ✓</t>
  </si>
  <si>
    <t>Azure GermanyWestCentral (Frankfurt)</t>
  </si>
  <si>
    <t>→  AWS eu-central-1 (Frankfurt) |  Sites: FRI  |  German data stays in Germany (GDPR) ✓</t>
  </si>
  <si>
    <t>GDPR / Data Sovereignty</t>
  </si>
  <si>
    <t>No data crosses borders. UK data: eu-west-2 (London). German data: eu-central-1 (Frankfurt). All EU data in EU. S3 bucket region is enforced by SCP (Service Control Policy) blocking bucket creation in wrong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</si>
</sst>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000"/>
    <numFmt numFmtId="165" formatCode="\$0.0000"/>
    <numFmt numFmtId="166" formatCode="0.0%"/>
    <numFmt numFmtId="167" formatCode="\$#,##0"/>
    <numFmt numFmtId="168" formatCode="\$#,##0.00"/>
    <numFmt numFmtId="169" formatCode="\~0.0&quot; months&quot;"/>
    <numFmt numFmtId="170" formatCode="#,##0.0"/>
    <numFmt numFmtId="171" formatCode="#,##0.\1"/>
    <numFmt numFmtId="172" formatCode="\$0.00000"/>
    <numFmt numFmtId="173" formatCode="\$0.000"/>
    <numFmt numFmtId="174" formatCode="0.0"/>
  </numFmts>
  <fonts count="71" x14ac:knownFonts="1">
    <font>
      <sz val="11"/>
      <color theme="1"/>
      <name val="Calibri"/>
      <family val="2"/>
      <charset val="1"/>
    </font>
    <font>
      <b/>
      <sz val="14"/>
      <color rgb="FFFFFFFF"/>
      <name val="Arial"/>
      <charset val="1"/>
    </font>
    <font>
      <i/>
      <sz val="9"/>
      <color rgb="FF555555"/>
      <name val="Arial"/>
      <charset val="1"/>
    </font>
    <font>
      <b/>
      <sz val="10"/>
      <color rgb="FFFFFFFF"/>
      <name val="Arial"/>
      <charset val="1"/>
    </font>
    <font>
      <b/>
      <sz val="9"/>
      <color rgb="FFFFFFFF"/>
      <name val="Arial"/>
      <charset val="1"/>
    </font>
    <font>
      <b/>
      <sz val="9"/>
      <color rgb="FF000000"/>
      <name val="Arial"/>
      <charset val="1"/>
    </font>
    <font>
      <sz val="9"/>
      <color rgb="FF000000"/>
      <name val="Arial"/>
      <charset val="1"/>
    </font>
    <font>
      <b/>
      <sz val="9"/>
      <color rgb="FF375623"/>
      <name val="Arial"/>
      <charset val="1"/>
    </font>
    <font>
      <b/>
      <sz val="11"/>
      <color rgb="FFFFFFFF"/>
      <name val="Arial"/>
      <charset val="1"/>
    </font>
    <font>
      <i/>
      <sz val="8"/>
      <color rgb="FF888888"/>
      <name val="Arial"/>
      <charset val="1"/>
    </font>
    <font>
      <b/>
      <sz val="13"/>
      <color rgb="FFFFFFFF"/>
      <name val="Arial"/>
      <charset val="1"/>
    </font>
    <font>
      <sz val="8"/>
      <color rgb="FF666666"/>
      <name val="Arial"/>
      <charset val="1"/>
    </font>
    <font>
      <sz val="9"/>
      <color rgb="FF595959"/>
      <name val="Arial"/>
      <charset val="1"/>
    </font>
    <font>
      <sz val="9"/>
      <color rgb="FF0000FF"/>
      <name val="Arial"/>
      <charset val="1"/>
    </font>
    <font>
      <sz val="8"/>
      <color rgb="FF555555"/>
      <name val="Arial"/>
      <charset val="1"/>
    </font>
    <font>
      <b/>
      <sz val="9"/>
      <color rgb="FF0000FF"/>
      <name val="Arial"/>
      <charset val="1"/>
    </font>
    <font>
      <sz val="8"/>
      <color rgb="FF375623"/>
      <name val="Arial"/>
      <charset val="1"/>
    </font>
    <font>
      <b/>
      <sz val="9"/>
      <color rgb="FFC00000"/>
      <name val="Arial"/>
      <charset val="1"/>
    </font>
    <font>
      <sz val="9"/>
      <color rgb="FFAAAAAA"/>
      <name val="Arial"/>
      <charset val="1"/>
    </font>
    <font>
      <b/>
      <sz val="9"/>
      <color rgb="FFFFFF00"/>
      <name val="Arial"/>
      <charset val="1"/>
    </font>
    <font>
      <sz val="9"/>
      <color rgb="FFFFFFFF"/>
      <name val="Arial"/>
      <charset val="1"/>
    </font>
    <font>
      <sz val="9"/>
      <color rgb="FF555555"/>
      <name val="Arial"/>
      <charset val="1"/>
    </font>
    <font>
      <b/>
      <sz val="22"/>
      <color rgb="FF1F3864"/>
      <name val="Arial"/>
      <charset val="1"/>
    </font>
    <font>
      <sz val="8"/>
      <color rgb="FF333333"/>
      <name val="Arial"/>
      <charset val="1"/>
    </font>
    <font>
      <sz val="9"/>
      <color rgb="FF843C0C"/>
      <name val="Arial"/>
      <charset val="1"/>
    </font>
    <font>
      <sz val="9"/>
      <color rgb="FF375623"/>
      <name val="Arial"/>
      <charset val="1"/>
    </font>
    <font>
      <sz val="8"/>
      <color rgb="FF0D5257"/>
      <name val="Arial"/>
      <charset val="1"/>
    </font>
    <font>
      <sz val="9"/>
      <color rgb="FFC00000"/>
      <name val="Arial"/>
      <charset val="1"/>
    </font>
    <font>
      <b/>
      <sz val="9"/>
      <color rgb="FF2E75B6"/>
      <name val="Arial"/>
      <charset val="1"/>
    </font>
    <font>
      <b/>
      <sz val="9"/>
      <color rgb="FF1F3864"/>
      <name val="Arial"/>
      <charset val="1"/>
    </font>
    <font>
      <sz val="8"/>
      <color rgb="FF444444"/>
      <name val="Arial"/>
      <charset val="1"/>
    </font>
    <font>
      <b/>
      <sz val="12"/>
      <color rgb="FF1F3864"/>
      <name val="Arial"/>
      <charset val="1"/>
    </font>
    <font>
      <b/>
      <sz val="12"/>
      <color rgb="FFFFFFFF"/>
      <name val="Arial"/>
      <charset val="1"/>
    </font>
    <font>
      <sz val="9"/>
      <name val="Arial"/>
      <charset val="1"/>
    </font>
    <font>
      <b/>
      <sz val="9"/>
      <color rgb="FF843C0C"/>
      <name val="Arial"/>
      <charset val="1"/>
    </font>
    <font>
      <b/>
      <sz val="11"/>
      <color rgb="FFFFFF00"/>
      <name val="Arial"/>
      <charset val="1"/>
    </font>
    <font>
      <sz val="9"/>
      <color rgb="FFFFFF00"/>
      <name val="Arial"/>
      <charset val="1"/>
    </font>
    <font>
      <sz val="8"/>
      <color rgb="FF843C0C"/>
      <name val="Arial"/>
      <charset val="1"/>
    </font>
    <font>
      <b/>
      <sz val="8"/>
      <color rgb="FFFFFFFF"/>
      <name val="Arial"/>
      <charset val="1"/>
    </font>
    <font>
      <sz val="8"/>
      <color rgb="FF185FA5"/>
      <name val="Arial"/>
      <charset val="1"/>
    </font>
    <font>
      <sz val="9"/>
      <color rgb="FF2E75B6"/>
      <name val="Arial"/>
      <charset val="1"/>
    </font>
    <font>
      <b/>
      <sz val="9"/>
      <color rgb="FF444444"/>
      <name val="Arial"/>
      <charset val="1"/>
    </font>
    <font>
      <b/>
      <sz val="9"/>
      <color rgb="FF555555"/>
      <name val="Arial"/>
      <charset val="1"/>
    </font>
    <font>
      <b/>
      <sz val="8"/>
      <color rgb="FFC00000"/>
      <name val="Arial"/>
      <charset val="1"/>
    </font>
    <font>
      <b/>
      <sz val="8"/>
      <color rgb="FF843C0C"/>
      <name val="Arial"/>
      <charset val="1"/>
    </font>
    <font>
      <b/>
      <sz val="8"/>
      <color rgb="FF375623"/>
      <name val="Arial"/>
      <charset val="1"/>
    </font>
    <font>
      <b/>
      <sz val="17"/>
      <color rgb="FF1F3864"/>
      <name val="Arial"/>
      <charset val="1"/>
    </font>
    <font>
      <b/>
      <sz val="17"/>
      <color rgb="FF375623"/>
      <name val="Arial"/>
      <charset val="1"/>
    </font>
    <font>
      <b/>
      <sz val="17"/>
      <color rgb="FF843C0C"/>
      <name val="Arial"/>
      <charset val="1"/>
    </font>
    <font>
      <b/>
      <sz val="17"/>
      <color rgb="FF7030A0"/>
      <name val="Arial"/>
      <charset val="1"/>
    </font>
    <font>
      <sz val="8"/>
      <color rgb="FFAAAAAA"/>
      <name val="Arial"/>
      <charset val="1"/>
    </font>
    <font>
      <sz val="8"/>
      <color rgb="FF888888"/>
      <name val="Arial"/>
      <charset val="1"/>
    </font>
    <font>
      <b/>
      <sz val="9"/>
      <color rgb="FF8B0000"/>
      <name val="Arial"/>
      <charset val="1"/>
    </font>
    <font>
      <sz val="9"/>
      <color rgb="FF8B0000"/>
      <name val="Arial"/>
      <charset val="1"/>
    </font>
    <font>
      <sz val="8"/>
      <color rgb="FF8B0000"/>
      <name val="Arial"/>
      <charset val="1"/>
    </font>
    <font>
      <i/>
      <sz val="8"/>
      <color rgb="FF444444"/>
      <name val="Arial"/>
      <charset val="1"/>
    </font>
    <font>
      <b/>
      <sz val="13"/>
      <color rgb="FFFFFF00"/>
      <name val="Arial"/>
      <charset val="1"/>
    </font>
    <font>
      <b/>
      <sz val="11"/>
      <color rgb="FF375623"/>
      <name val="Arial"/>
      <charset val="1"/>
    </font>
    <font>
      <sz val="8"/>
      <color rgb="FFC00000"/>
      <name val="Arial"/>
      <charset val="1"/>
    </font>
    <font>
      <sz val="8"/>
      <color rgb="FF1A1A1A"/>
      <name val="Arial"/>
      <charset val="1"/>
    </font>
    <font>
      <sz val="8"/>
      <color rgb="FF000000"/>
      <name val="Arial"/>
      <charset val="1"/>
    </font>
    <font>
      <b/>
      <sz val="8"/>
      <color rgb="FF000000"/>
      <name val="Arial"/>
      <charset val="1"/>
    </font>
    <font>
      <b/>
      <sz val="9"/>
      <color rgb="FF0D5257"/>
      <name val="Arial"/>
      <charset val="1"/>
    </font>
    <font>
      <b/>
      <sz val="14"/>
      <color rgb="FF375623"/>
      <name val="Arial"/>
      <charset val="1"/>
    </font>
    <font>
      <b/>
      <sz val="8"/>
      <color rgb="FF1F3864"/>
      <name val="Arial"/>
      <charset val="1"/>
    </font>
    <font>
      <b/>
      <sz val="9"/>
      <color rgb="FF888888"/>
      <name val="Arial"/>
      <charset val="1"/>
    </font>
    <font>
      <b/>
      <sz val="10"/>
      <color rgb="FFFFFF00"/>
      <name val="Arial"/>
      <charset val="1"/>
    </font>
    <font>
      <sz val="8"/>
      <color rgb="FF04342C"/>
      <name val="Arial"/>
      <charset val="1"/>
    </font>
    <font>
      <b/>
      <sz val="9"/>
      <color rgb="FF185FA5"/>
      <name val="Arial"/>
      <charset val="1"/>
    </font>
    <font>
      <b/>
      <sz val="9"/>
      <color rgb="FF04342C"/>
      <name val="Arial"/>
      <charset val="1"/>
    </font>
    <font>
      <b/>
      <sz val="9"/>
      <color rgb="FFA32D2D"/>
      <name val="Arial"/>
      <charset val="1"/>
    </font>
  </fonts>
  <fills count="26">
    <fill>
      <patternFill patternType="none"/>
    </fill>
    <fill>
      <patternFill patternType="gray125"/>
    </fill>
    <fill>
      <patternFill patternType="solid">
        <fgColor rgb="FF1F3864"/>
        <bgColor rgb="FF333333"/>
      </patternFill>
    </fill>
    <fill>
      <patternFill patternType="solid">
        <fgColor rgb="FFFFFDE7"/>
        <bgColor rgb="FFFFFFFF"/>
      </patternFill>
    </fill>
    <fill>
      <patternFill patternType="solid">
        <fgColor rgb="FFD6E4F7"/>
        <bgColor rgb="FFD0EDF0"/>
      </patternFill>
    </fill>
    <fill>
      <patternFill patternType="solid">
        <fgColor rgb="FFF2F2F2"/>
        <bgColor rgb="FFEAF5EA"/>
      </patternFill>
    </fill>
    <fill>
      <patternFill patternType="solid">
        <fgColor rgb="FFFFF2CC"/>
        <bgColor rgb="FFFCE4D6"/>
      </patternFill>
    </fill>
    <fill>
      <patternFill patternType="solid">
        <fgColor rgb="FFFFFFFF"/>
        <bgColor rgb="FFFFFDE7"/>
      </patternFill>
    </fill>
    <fill>
      <patternFill patternType="solid">
        <fgColor rgb="FFE2EFDA"/>
        <bgColor rgb="FFEAF3DE"/>
      </patternFill>
    </fill>
    <fill>
      <patternFill patternType="solid">
        <fgColor rgb="FFFFE0E0"/>
        <bgColor rgb="FFFCE4D6"/>
      </patternFill>
    </fill>
    <fill>
      <patternFill patternType="solid">
        <fgColor rgb="FF2E75B6"/>
        <bgColor rgb="FF185FA5"/>
      </patternFill>
    </fill>
    <fill>
      <patternFill patternType="solid">
        <fgColor rgb="FFFFFF00"/>
        <bgColor rgb="FFFFF2CC"/>
      </patternFill>
    </fill>
    <fill>
      <patternFill patternType="solid">
        <fgColor rgb="FFC00000"/>
        <bgColor rgb="FF8B0000"/>
      </patternFill>
    </fill>
    <fill>
      <patternFill patternType="solid">
        <fgColor rgb="FF375623"/>
        <bgColor rgb="FF444444"/>
      </patternFill>
    </fill>
    <fill>
      <patternFill patternType="solid">
        <fgColor rgb="FFFCE4D6"/>
        <bgColor rgb="FFFFE0E0"/>
      </patternFill>
    </fill>
    <fill>
      <patternFill patternType="solid">
        <fgColor rgb="FF0D5257"/>
        <bgColor rgb="FF1F3864"/>
      </patternFill>
    </fill>
    <fill>
      <patternFill patternType="solid">
        <fgColor rgb="FFD0EDF0"/>
        <bgColor rgb="FFD6E4F7"/>
      </patternFill>
    </fill>
    <fill>
      <patternFill patternType="solid">
        <fgColor rgb="FF843C0C"/>
        <bgColor rgb="FFA32D2D"/>
      </patternFill>
    </fill>
    <fill>
      <patternFill patternType="solid">
        <fgColor rgb="FFEAF3DE"/>
        <bgColor rgb="FFEAF5EA"/>
      </patternFill>
    </fill>
    <fill>
      <patternFill patternType="solid">
        <fgColor rgb="FF7030A0"/>
        <bgColor rgb="FF800080"/>
      </patternFill>
    </fill>
    <fill>
      <patternFill patternType="solid">
        <fgColor rgb="FFEDE7F6"/>
        <bgColor rgb="FFF2F2F2"/>
      </patternFill>
    </fill>
    <fill>
      <patternFill patternType="solid">
        <fgColor rgb="FFEAF5EA"/>
        <bgColor rgb="FFEAF3DE"/>
      </patternFill>
    </fill>
    <fill>
      <patternFill patternType="solid">
        <fgColor rgb="FFFFD7D7"/>
        <bgColor rgb="FFFFE0E0"/>
      </patternFill>
    </fill>
    <fill>
      <patternFill patternType="solid">
        <fgColor rgb="FF185FA5"/>
        <bgColor rgb="FF2F5496"/>
      </patternFill>
    </fill>
    <fill>
      <patternFill patternType="solid">
        <fgColor rgb="FFE1F5EE"/>
        <bgColor rgb="FFEAF5EA"/>
      </patternFill>
    </fill>
    <fill>
      <patternFill patternType="solid">
        <fgColor rgb="FFFCEBEB"/>
        <bgColor rgb="FFF2F2F2"/>
      </patternFill>
    </fill>
  </fills>
  <borders count="7">
    <border>
      <left/>
      <right/>
      <top/>
      <bottom/>
      <diagonal/>
    </border>
    <border>
      <left style="medium">
        <color rgb="FF2F5496"/>
      </left>
      <right/>
      <top style="medium">
        <color rgb="FF2F5496"/>
      </top>
      <bottom style="medium">
        <color rgb="FF2F5496"/>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style="medium">
        <color rgb="FF2F5496"/>
      </left>
      <right style="medium">
        <color rgb="FF2F5496"/>
      </right>
      <top style="medium">
        <color rgb="FF2F5496"/>
      </top>
      <bottom style="medium">
        <color rgb="FF2F5496"/>
      </bottom>
      <diagonal/>
    </border>
    <border>
      <left/>
      <right style="thin">
        <color rgb="FFBFBFBF"/>
      </right>
      <top style="thin">
        <color rgb="FFBFBFBF"/>
      </top>
      <bottom style="thin">
        <color rgb="FFBFBFBF"/>
      </bottom>
      <diagonal/>
    </border>
  </borders>
  <cellStyleXfs count="1">
    <xf numFmtId="0" fontId="0" fillId="0" borderId="0"/>
  </cellStyleXfs>
  <cellXfs count="441">
    <xf numFmtId="0" fontId="0" fillId="0" borderId="0" xfId="0"/>
    <xf numFmtId="0" fontId="3" fillId="12" borderId="2" xfId="0" applyFont="1" applyFill="1" applyBorder="1" applyAlignment="1">
      <alignment horizontal="left" vertical="center" wrapText="1"/>
    </xf>
    <xf numFmtId="0" fontId="14" fillId="8" borderId="2" xfId="0" applyFont="1" applyFill="1" applyBorder="1" applyAlignment="1">
      <alignment horizontal="left" vertical="center" wrapText="1"/>
    </xf>
    <xf numFmtId="0" fontId="14" fillId="7" borderId="2" xfId="0" applyFont="1" applyFill="1" applyBorder="1" applyAlignment="1">
      <alignment horizontal="left" vertical="center" wrapText="1"/>
    </xf>
    <xf numFmtId="0" fontId="14" fillId="5" borderId="2" xfId="0" applyFont="1" applyFill="1" applyBorder="1" applyAlignment="1">
      <alignment horizontal="left" vertical="center" wrapText="1"/>
    </xf>
    <xf numFmtId="0" fontId="3" fillId="10" borderId="2" xfId="0" applyFont="1" applyFill="1" applyBorder="1" applyAlignment="1">
      <alignment horizontal="left" vertical="center" wrapText="1"/>
    </xf>
    <xf numFmtId="0" fontId="11" fillId="0" borderId="0" xfId="0" applyFont="1" applyAlignment="1">
      <alignment horizontal="center" vertical="center" wrapText="1"/>
    </xf>
    <xf numFmtId="0" fontId="10" fillId="2" borderId="1" xfId="0" applyFont="1" applyFill="1" applyBorder="1" applyAlignment="1">
      <alignment horizontal="center" vertical="center" wrapText="1"/>
    </xf>
    <xf numFmtId="0" fontId="7" fillId="8" borderId="3" xfId="0" applyFont="1" applyFill="1" applyBorder="1" applyAlignment="1">
      <alignment horizontal="left" vertical="center" wrapText="1"/>
    </xf>
    <xf numFmtId="0" fontId="6" fillId="8" borderId="3" xfId="0" applyFont="1" applyFill="1" applyBorder="1" applyAlignment="1">
      <alignment horizontal="left" vertical="top" wrapText="1"/>
    </xf>
    <xf numFmtId="0" fontId="6" fillId="4" borderId="3" xfId="0" applyFont="1" applyFill="1" applyBorder="1" applyAlignment="1">
      <alignment horizontal="left" vertical="top" wrapText="1"/>
    </xf>
    <xf numFmtId="0" fontId="8" fillId="2" borderId="3" xfId="0" applyFont="1" applyFill="1" applyBorder="1" applyAlignment="1">
      <alignment horizontal="left" vertical="center" wrapText="1"/>
    </xf>
    <xf numFmtId="0" fontId="3" fillId="2" borderId="2" xfId="0" applyFont="1" applyFill="1" applyBorder="1" applyAlignment="1">
      <alignment horizontal="left" vertical="center" wrapText="1"/>
    </xf>
    <xf numFmtId="0" fontId="2" fillId="3"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6" fillId="5" borderId="3" xfId="0" applyFont="1" applyFill="1" applyBorder="1" applyAlignment="1">
      <alignment horizontal="left" vertical="top" wrapText="1"/>
    </xf>
    <xf numFmtId="0" fontId="5" fillId="6" borderId="3" xfId="0" applyFont="1" applyFill="1" applyBorder="1" applyAlignment="1">
      <alignment horizontal="left" vertical="center" wrapText="1"/>
    </xf>
    <xf numFmtId="0" fontId="6" fillId="7" borderId="3" xfId="0" applyFont="1" applyFill="1" applyBorder="1" applyAlignment="1">
      <alignment horizontal="left" vertical="top" wrapText="1"/>
    </xf>
    <xf numFmtId="0" fontId="5" fillId="8" borderId="3" xfId="0" applyFont="1" applyFill="1" applyBorder="1" applyAlignment="1">
      <alignment horizontal="left" vertical="center" wrapText="1"/>
    </xf>
    <xf numFmtId="0" fontId="5" fillId="9" borderId="3" xfId="0" applyFont="1" applyFill="1" applyBorder="1" applyAlignment="1">
      <alignment horizontal="left" vertical="center" wrapText="1"/>
    </xf>
    <xf numFmtId="0" fontId="6" fillId="8" borderId="3" xfId="0" applyFont="1" applyFill="1" applyBorder="1" applyAlignment="1">
      <alignment horizontal="left" vertical="center" wrapText="1"/>
    </xf>
    <xf numFmtId="0" fontId="7" fillId="8" borderId="3" xfId="0" applyFont="1" applyFill="1" applyBorder="1" applyAlignment="1">
      <alignment horizontal="left" vertical="center" wrapText="1"/>
    </xf>
    <xf numFmtId="0" fontId="6" fillId="8" borderId="3" xfId="0" applyFont="1" applyFill="1" applyBorder="1" applyAlignment="1">
      <alignment horizontal="left" vertical="top" wrapText="1"/>
    </xf>
    <xf numFmtId="0" fontId="9" fillId="5" borderId="2"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3" fillId="10" borderId="2" xfId="0" applyFont="1" applyFill="1" applyBorder="1" applyAlignment="1">
      <alignment horizontal="left" vertical="center" wrapText="1"/>
    </xf>
    <xf numFmtId="0" fontId="4" fillId="10"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4" fontId="13" fillId="11"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164" fontId="13" fillId="11" borderId="3" xfId="0" applyNumberFormat="1" applyFont="1" applyFill="1" applyBorder="1" applyAlignment="1">
      <alignment horizontal="center" vertical="center" wrapText="1"/>
    </xf>
    <xf numFmtId="4" fontId="6" fillId="7" borderId="3" xfId="0" applyNumberFormat="1" applyFont="1" applyFill="1" applyBorder="1" applyAlignment="1">
      <alignment horizontal="center" vertical="center" wrapText="1"/>
    </xf>
    <xf numFmtId="0" fontId="12" fillId="8" borderId="3" xfId="0" applyFont="1" applyFill="1" applyBorder="1" applyAlignment="1">
      <alignment horizontal="center" vertical="center" wrapText="1"/>
    </xf>
    <xf numFmtId="4" fontId="6" fillId="8" borderId="3" xfId="0" applyNumberFormat="1" applyFont="1" applyFill="1" applyBorder="1" applyAlignment="1">
      <alignment horizontal="center" vertical="center" wrapText="1"/>
    </xf>
    <xf numFmtId="0" fontId="6" fillId="8" borderId="3" xfId="0" applyFont="1" applyFill="1" applyBorder="1" applyAlignment="1">
      <alignment horizontal="center" vertical="center" wrapText="1"/>
    </xf>
    <xf numFmtId="0" fontId="3" fillId="12" borderId="2" xfId="0" applyFont="1" applyFill="1" applyBorder="1" applyAlignment="1">
      <alignment horizontal="left" vertical="center" wrapText="1"/>
    </xf>
    <xf numFmtId="0" fontId="4" fillId="12" borderId="3" xfId="0" applyFont="1" applyFill="1" applyBorder="1" applyAlignment="1">
      <alignment horizontal="center" vertical="center" wrapText="1"/>
    </xf>
    <xf numFmtId="165" fontId="13" fillId="11" borderId="3" xfId="0" applyNumberFormat="1" applyFont="1" applyFill="1" applyBorder="1" applyAlignment="1">
      <alignment horizontal="center" vertical="center" wrapText="1"/>
    </xf>
    <xf numFmtId="0" fontId="12" fillId="9" borderId="3"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3" fillId="13" borderId="2" xfId="0" applyFont="1" applyFill="1" applyBorder="1" applyAlignment="1">
      <alignment horizontal="left" vertical="center" wrapText="1"/>
    </xf>
    <xf numFmtId="0" fontId="4" fillId="13" borderId="3" xfId="0" applyFont="1" applyFill="1" applyBorder="1" applyAlignment="1">
      <alignment horizontal="center" vertical="center" wrapText="1"/>
    </xf>
    <xf numFmtId="166" fontId="13" fillId="11" borderId="3" xfId="0" applyNumberFormat="1" applyFont="1" applyFill="1" applyBorder="1" applyAlignment="1">
      <alignment horizontal="center" vertical="center" wrapText="1"/>
    </xf>
    <xf numFmtId="167" fontId="15" fillId="11" borderId="3" xfId="0" applyNumberFormat="1" applyFont="1" applyFill="1" applyBorder="1" applyAlignment="1">
      <alignment horizontal="center" vertical="center" wrapText="1"/>
    </xf>
    <xf numFmtId="0" fontId="16" fillId="8" borderId="3" xfId="0" applyFont="1" applyFill="1" applyBorder="1" applyAlignment="1">
      <alignment horizontal="left" vertical="center" wrapText="1"/>
    </xf>
    <xf numFmtId="167" fontId="13" fillId="11" borderId="3" xfId="0" applyNumberFormat="1" applyFont="1" applyFill="1" applyBorder="1" applyAlignment="1">
      <alignment horizontal="center" vertical="center" wrapText="1"/>
    </xf>
    <xf numFmtId="3" fontId="13" fillId="11" borderId="3" xfId="0" applyNumberFormat="1" applyFont="1" applyFill="1" applyBorder="1" applyAlignment="1">
      <alignment horizontal="center" vertical="center" wrapText="1"/>
    </xf>
    <xf numFmtId="168" fontId="17" fillId="9" borderId="3" xfId="0" applyNumberFormat="1" applyFont="1" applyFill="1" applyBorder="1" applyAlignment="1">
      <alignment horizontal="center" vertical="center" wrapText="1"/>
    </xf>
    <xf numFmtId="0" fontId="4" fillId="2" borderId="3" xfId="0" applyFont="1" applyFill="1" applyBorder="1" applyAlignment="1">
      <alignment horizontal="left" vertical="center" wrapText="1"/>
    </xf>
    <xf numFmtId="0" fontId="18" fillId="2" borderId="3" xfId="0" applyFont="1" applyFill="1" applyBorder="1" applyAlignment="1">
      <alignment horizontal="center" vertical="center" wrapText="1"/>
    </xf>
    <xf numFmtId="168" fontId="19" fillId="2" borderId="3" xfId="0" applyNumberFormat="1" applyFont="1" applyFill="1" applyBorder="1" applyAlignment="1">
      <alignment horizontal="center" vertical="center" wrapText="1"/>
    </xf>
    <xf numFmtId="0" fontId="20" fillId="2" borderId="3" xfId="0" applyFont="1" applyFill="1" applyBorder="1" applyAlignment="1">
      <alignment horizontal="center" vertical="center" wrapText="1"/>
    </xf>
    <xf numFmtId="0" fontId="24" fillId="14" borderId="2" xfId="0" applyFont="1" applyFill="1" applyBorder="1" applyAlignment="1">
      <alignment horizontal="left" vertical="center" wrapText="1"/>
    </xf>
    <xf numFmtId="0" fontId="3" fillId="15" borderId="2" xfId="0" applyFont="1" applyFill="1" applyBorder="1" applyAlignment="1">
      <alignment horizontal="left" vertical="center" wrapText="1"/>
    </xf>
    <xf numFmtId="0" fontId="26" fillId="16" borderId="2" xfId="0" applyFont="1" applyFill="1" applyBorder="1" applyAlignment="1">
      <alignment horizontal="left" vertical="center" wrapText="1"/>
    </xf>
    <xf numFmtId="0" fontId="4" fillId="15" borderId="3" xfId="0" applyFont="1" applyFill="1" applyBorder="1" applyAlignment="1">
      <alignment horizontal="center" vertical="center" wrapText="1"/>
    </xf>
    <xf numFmtId="0" fontId="6" fillId="5" borderId="3" xfId="0" applyFont="1" applyFill="1" applyBorder="1" applyAlignment="1">
      <alignment horizontal="left" vertical="center" wrapText="1"/>
    </xf>
    <xf numFmtId="167" fontId="27" fillId="5" borderId="3" xfId="0" applyNumberFormat="1" applyFont="1" applyFill="1" applyBorder="1" applyAlignment="1">
      <alignment horizontal="center" vertical="center" wrapText="1"/>
    </xf>
    <xf numFmtId="167" fontId="7" fillId="5" borderId="3" xfId="0" applyNumberFormat="1" applyFont="1" applyFill="1" applyBorder="1" applyAlignment="1">
      <alignment horizontal="center" vertical="center" wrapText="1"/>
    </xf>
    <xf numFmtId="167" fontId="28" fillId="5" borderId="3" xfId="0" applyNumberFormat="1" applyFont="1" applyFill="1" applyBorder="1" applyAlignment="1">
      <alignment horizontal="center" vertical="center" wrapText="1"/>
    </xf>
    <xf numFmtId="49" fontId="24" fillId="5" borderId="3" xfId="0" applyNumberFormat="1" applyFont="1" applyFill="1" applyBorder="1" applyAlignment="1">
      <alignment horizontal="center" vertical="center" wrapText="1"/>
    </xf>
    <xf numFmtId="49" fontId="29" fillId="5" borderId="3" xfId="0" applyNumberFormat="1" applyFont="1" applyFill="1" applyBorder="1" applyAlignment="1">
      <alignment horizontal="center" vertical="center" wrapText="1"/>
    </xf>
    <xf numFmtId="0" fontId="30" fillId="5" borderId="3" xfId="0" applyFont="1" applyFill="1" applyBorder="1" applyAlignment="1">
      <alignment horizontal="left" vertical="center" wrapText="1"/>
    </xf>
    <xf numFmtId="0" fontId="6" fillId="7" borderId="3" xfId="0" applyFont="1" applyFill="1" applyBorder="1" applyAlignment="1">
      <alignment horizontal="left" vertical="center" wrapText="1"/>
    </xf>
    <xf numFmtId="167" fontId="27" fillId="7" borderId="3" xfId="0" applyNumberFormat="1" applyFont="1" applyFill="1" applyBorder="1" applyAlignment="1">
      <alignment horizontal="center" vertical="center" wrapText="1"/>
    </xf>
    <xf numFmtId="167" fontId="7" fillId="7" borderId="3" xfId="0" applyNumberFormat="1" applyFont="1" applyFill="1" applyBorder="1" applyAlignment="1">
      <alignment horizontal="center" vertical="center" wrapText="1"/>
    </xf>
    <xf numFmtId="167" fontId="28" fillId="7" borderId="3" xfId="0" applyNumberFormat="1" applyFont="1" applyFill="1" applyBorder="1" applyAlignment="1">
      <alignment horizontal="center" vertical="center" wrapText="1"/>
    </xf>
    <xf numFmtId="167" fontId="24" fillId="7" borderId="3" xfId="0" applyNumberFormat="1" applyFont="1" applyFill="1" applyBorder="1" applyAlignment="1">
      <alignment horizontal="center" vertical="center" wrapText="1"/>
    </xf>
    <xf numFmtId="167" fontId="29" fillId="7" borderId="3" xfId="0" applyNumberFormat="1" applyFont="1" applyFill="1" applyBorder="1" applyAlignment="1">
      <alignment horizontal="center" vertical="center" wrapText="1"/>
    </xf>
    <xf numFmtId="0" fontId="30" fillId="7" borderId="3" xfId="0" applyFont="1" applyFill="1" applyBorder="1" applyAlignment="1">
      <alignment horizontal="left" vertical="center" wrapText="1"/>
    </xf>
    <xf numFmtId="167" fontId="29" fillId="5" borderId="3" xfId="0" applyNumberFormat="1" applyFont="1" applyFill="1" applyBorder="1" applyAlignment="1">
      <alignment horizontal="center" vertical="center" wrapText="1"/>
    </xf>
    <xf numFmtId="49" fontId="24" fillId="7" borderId="3" xfId="0" applyNumberFormat="1" applyFont="1" applyFill="1" applyBorder="1" applyAlignment="1">
      <alignment horizontal="center" vertical="center" wrapText="1"/>
    </xf>
    <xf numFmtId="0" fontId="5" fillId="15" borderId="3" xfId="0" applyFont="1" applyFill="1" applyBorder="1" applyAlignment="1">
      <alignment horizontal="left" vertical="center" wrapText="1"/>
    </xf>
    <xf numFmtId="167" fontId="27" fillId="15" borderId="3" xfId="0" applyNumberFormat="1" applyFont="1" applyFill="1" applyBorder="1" applyAlignment="1">
      <alignment horizontal="center" vertical="center" wrapText="1"/>
    </xf>
    <xf numFmtId="167" fontId="7" fillId="15" borderId="3" xfId="0" applyNumberFormat="1" applyFont="1" applyFill="1" applyBorder="1" applyAlignment="1">
      <alignment horizontal="center" vertical="center" wrapText="1"/>
    </xf>
    <xf numFmtId="167" fontId="28" fillId="15" borderId="3" xfId="0" applyNumberFormat="1" applyFont="1" applyFill="1" applyBorder="1" applyAlignment="1">
      <alignment horizontal="center" vertical="center" wrapText="1"/>
    </xf>
    <xf numFmtId="167" fontId="24" fillId="15" borderId="3" xfId="0" applyNumberFormat="1" applyFont="1" applyFill="1" applyBorder="1" applyAlignment="1">
      <alignment horizontal="center" vertical="center" wrapText="1"/>
    </xf>
    <xf numFmtId="167" fontId="19" fillId="15" borderId="3" xfId="0" applyNumberFormat="1" applyFont="1" applyFill="1" applyBorder="1" applyAlignment="1">
      <alignment horizontal="center" vertical="center" wrapText="1"/>
    </xf>
    <xf numFmtId="167" fontId="29" fillId="15" borderId="3" xfId="0" applyNumberFormat="1" applyFont="1" applyFill="1" applyBorder="1" applyAlignment="1">
      <alignment horizontal="center" vertical="center" wrapText="1"/>
    </xf>
    <xf numFmtId="0" fontId="30" fillId="15" borderId="3" xfId="0" applyFont="1" applyFill="1" applyBorder="1" applyAlignment="1">
      <alignment horizontal="left" vertical="center" wrapText="1"/>
    </xf>
    <xf numFmtId="0" fontId="3" fillId="17" borderId="2" xfId="0" applyFont="1" applyFill="1" applyBorder="1" applyAlignment="1">
      <alignment horizontal="left" vertical="center" wrapText="1"/>
    </xf>
    <xf numFmtId="0" fontId="5" fillId="8" borderId="3"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30" fillId="8" borderId="3" xfId="0" applyFont="1" applyFill="1" applyBorder="1" applyAlignment="1">
      <alignment horizontal="left" vertical="center" wrapText="1"/>
    </xf>
    <xf numFmtId="0" fontId="6" fillId="6"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30" fillId="6" borderId="3" xfId="0" applyFont="1" applyFill="1" applyBorder="1" applyAlignment="1">
      <alignment horizontal="left" vertical="center" wrapText="1"/>
    </xf>
    <xf numFmtId="0" fontId="5" fillId="9" borderId="3"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30" fillId="9" borderId="3" xfId="0" applyFont="1" applyFill="1" applyBorder="1" applyAlignment="1">
      <alignment horizontal="left" vertical="center" wrapText="1"/>
    </xf>
    <xf numFmtId="0" fontId="0" fillId="0" borderId="4" xfId="0" applyBorder="1"/>
    <xf numFmtId="0" fontId="6" fillId="4" borderId="3" xfId="0" applyFont="1" applyFill="1" applyBorder="1" applyAlignment="1">
      <alignment horizontal="left" vertical="center" wrapText="1"/>
    </xf>
    <xf numFmtId="168" fontId="15" fillId="11" borderId="3" xfId="0" applyNumberFormat="1" applyFont="1" applyFill="1" applyBorder="1" applyAlignment="1">
      <alignment horizontal="center" vertical="center" wrapText="1"/>
    </xf>
    <xf numFmtId="168" fontId="33" fillId="4" borderId="3" xfId="0" applyNumberFormat="1" applyFont="1" applyFill="1" applyBorder="1" applyAlignment="1">
      <alignment horizontal="center" vertical="center" wrapText="1"/>
    </xf>
    <xf numFmtId="0" fontId="30" fillId="4" borderId="3" xfId="0" applyFont="1" applyFill="1" applyBorder="1" applyAlignment="1">
      <alignment horizontal="left" vertical="center" wrapText="1"/>
    </xf>
    <xf numFmtId="0" fontId="34" fillId="14" borderId="3" xfId="0" applyFont="1" applyFill="1" applyBorder="1" applyAlignment="1">
      <alignment horizontal="left" vertical="center" wrapText="1"/>
    </xf>
    <xf numFmtId="168" fontId="33" fillId="14" borderId="3" xfId="0" applyNumberFormat="1" applyFont="1" applyFill="1" applyBorder="1" applyAlignment="1">
      <alignment horizontal="center" vertical="center" wrapText="1"/>
    </xf>
    <xf numFmtId="0" fontId="30" fillId="14" borderId="3" xfId="0" applyFont="1" applyFill="1" applyBorder="1" applyAlignment="1">
      <alignment horizontal="left" vertical="center" wrapText="1"/>
    </xf>
    <xf numFmtId="168" fontId="35" fillId="2" borderId="3" xfId="0" applyNumberFormat="1" applyFont="1" applyFill="1" applyBorder="1" applyAlignment="1">
      <alignment horizontal="center" vertical="center" wrapText="1"/>
    </xf>
    <xf numFmtId="0" fontId="36" fillId="2" borderId="3" xfId="0" applyFont="1" applyFill="1" applyBorder="1" applyAlignment="1">
      <alignment horizontal="left" vertical="center" wrapText="1"/>
    </xf>
    <xf numFmtId="0" fontId="4" fillId="17" borderId="3" xfId="0" applyFont="1" applyFill="1" applyBorder="1" applyAlignment="1">
      <alignment horizontal="center" vertical="center" wrapText="1"/>
    </xf>
    <xf numFmtId="0" fontId="38" fillId="17" borderId="3" xfId="0" applyFont="1" applyFill="1" applyBorder="1" applyAlignment="1">
      <alignment horizontal="center" vertical="center" wrapText="1"/>
    </xf>
    <xf numFmtId="0" fontId="34" fillId="14" borderId="3" xfId="0" applyFont="1" applyFill="1" applyBorder="1" applyAlignment="1">
      <alignment horizontal="center" vertical="center" wrapText="1"/>
    </xf>
    <xf numFmtId="0" fontId="6" fillId="14" borderId="3" xfId="0" applyFont="1" applyFill="1" applyBorder="1" applyAlignment="1">
      <alignment horizontal="left" vertical="center" wrapText="1"/>
    </xf>
    <xf numFmtId="0" fontId="23" fillId="14" borderId="3" xfId="0" applyFont="1" applyFill="1" applyBorder="1" applyAlignment="1">
      <alignment horizontal="left" vertical="center" wrapText="1"/>
    </xf>
    <xf numFmtId="170" fontId="15" fillId="11" borderId="3" xfId="0" applyNumberFormat="1" applyFont="1" applyFill="1" applyBorder="1" applyAlignment="1">
      <alignment horizontal="center" vertical="center" wrapText="1"/>
    </xf>
    <xf numFmtId="171" fontId="6" fillId="14" borderId="3" xfId="0" applyNumberFormat="1" applyFont="1" applyFill="1" applyBorder="1" applyAlignment="1">
      <alignment horizontal="center" vertical="center" wrapText="1"/>
    </xf>
    <xf numFmtId="0" fontId="38" fillId="13" borderId="3" xfId="0" applyFont="1" applyFill="1" applyBorder="1" applyAlignment="1">
      <alignment horizontal="center" vertical="center" wrapText="1"/>
    </xf>
    <xf numFmtId="0" fontId="23" fillId="8" borderId="3" xfId="0" applyFont="1" applyFill="1" applyBorder="1" applyAlignment="1">
      <alignment horizontal="left" vertical="center" wrapText="1"/>
    </xf>
    <xf numFmtId="171" fontId="6" fillId="18" borderId="3" xfId="0" applyNumberFormat="1" applyFont="1" applyFill="1" applyBorder="1" applyAlignment="1">
      <alignment horizontal="center" vertical="center" wrapText="1"/>
    </xf>
    <xf numFmtId="0" fontId="4" fillId="17" borderId="3" xfId="0" applyFont="1" applyFill="1" applyBorder="1" applyAlignment="1">
      <alignment horizontal="left" vertical="center" wrapText="1"/>
    </xf>
    <xf numFmtId="170" fontId="4" fillId="17" borderId="3" xfId="0" applyNumberFormat="1" applyFont="1" applyFill="1" applyBorder="1" applyAlignment="1">
      <alignment horizontal="center" vertical="center" wrapText="1"/>
    </xf>
    <xf numFmtId="171" fontId="4" fillId="17" borderId="3" xfId="0" applyNumberFormat="1" applyFont="1" applyFill="1" applyBorder="1" applyAlignment="1">
      <alignment horizontal="center" vertical="center" wrapText="1"/>
    </xf>
    <xf numFmtId="0" fontId="19" fillId="17" borderId="3" xfId="0" applyFont="1" applyFill="1" applyBorder="1" applyAlignment="1">
      <alignment horizontal="center" vertical="center" wrapText="1"/>
    </xf>
    <xf numFmtId="0" fontId="4" fillId="13" borderId="3" xfId="0" applyFont="1" applyFill="1" applyBorder="1" applyAlignment="1">
      <alignment horizontal="left" vertical="center" wrapText="1"/>
    </xf>
    <xf numFmtId="170" fontId="4" fillId="13" borderId="3" xfId="0" applyNumberFormat="1" applyFont="1" applyFill="1" applyBorder="1" applyAlignment="1">
      <alignment horizontal="center" vertical="center" wrapText="1"/>
    </xf>
    <xf numFmtId="171" fontId="4" fillId="13" borderId="3" xfId="0" applyNumberFormat="1" applyFont="1" applyFill="1" applyBorder="1" applyAlignment="1">
      <alignment horizontal="center" vertical="center" wrapText="1"/>
    </xf>
    <xf numFmtId="0" fontId="19" fillId="13" borderId="3" xfId="0" applyFont="1" applyFill="1" applyBorder="1" applyAlignment="1">
      <alignment horizontal="center" vertical="center" wrapText="1"/>
    </xf>
    <xf numFmtId="0" fontId="39" fillId="4" borderId="2" xfId="0" applyFont="1" applyFill="1" applyBorder="1" applyAlignment="1">
      <alignment horizontal="left" vertical="center" wrapText="1"/>
    </xf>
    <xf numFmtId="0" fontId="40" fillId="4" borderId="3" xfId="0" applyFont="1" applyFill="1" applyBorder="1" applyAlignment="1">
      <alignment horizontal="center" vertical="center" wrapText="1"/>
    </xf>
    <xf numFmtId="167" fontId="14" fillId="4" borderId="3" xfId="0" applyNumberFormat="1" applyFont="1" applyFill="1" applyBorder="1" applyAlignment="1">
      <alignment horizontal="left" vertical="center" wrapText="1"/>
    </xf>
    <xf numFmtId="0" fontId="23" fillId="4" borderId="3" xfId="0" applyFont="1" applyFill="1" applyBorder="1" applyAlignment="1">
      <alignment horizontal="left" vertical="center" wrapText="1"/>
    </xf>
    <xf numFmtId="167" fontId="5" fillId="4" borderId="3" xfId="0" applyNumberFormat="1" applyFont="1" applyFill="1" applyBorder="1" applyAlignment="1">
      <alignment horizontal="center" vertical="center" wrapText="1"/>
    </xf>
    <xf numFmtId="0" fontId="24" fillId="14" borderId="3" xfId="0" applyFont="1" applyFill="1" applyBorder="1" applyAlignment="1">
      <alignment horizontal="center" vertical="center" wrapText="1"/>
    </xf>
    <xf numFmtId="167" fontId="14" fillId="14" borderId="3" xfId="0" applyNumberFormat="1" applyFont="1" applyFill="1" applyBorder="1" applyAlignment="1">
      <alignment horizontal="left" vertical="center" wrapText="1"/>
    </xf>
    <xf numFmtId="0" fontId="5" fillId="14" borderId="3" xfId="0" applyFont="1" applyFill="1" applyBorder="1" applyAlignment="1">
      <alignment horizontal="left" vertical="center" wrapText="1"/>
    </xf>
    <xf numFmtId="167" fontId="5" fillId="14" borderId="3" xfId="0" applyNumberFormat="1" applyFont="1" applyFill="1" applyBorder="1" applyAlignment="1">
      <alignment horizontal="center" vertical="center" wrapText="1"/>
    </xf>
    <xf numFmtId="167" fontId="19" fillId="10" borderId="3" xfId="0" applyNumberFormat="1" applyFont="1" applyFill="1" applyBorder="1" applyAlignment="1">
      <alignment horizontal="center" vertical="center" wrapText="1"/>
    </xf>
    <xf numFmtId="167" fontId="19" fillId="17" borderId="3" xfId="0" applyNumberFormat="1" applyFont="1" applyFill="1" applyBorder="1" applyAlignment="1">
      <alignment horizontal="center" vertical="center" wrapText="1"/>
    </xf>
    <xf numFmtId="167" fontId="35" fillId="2" borderId="3" xfId="0" applyNumberFormat="1" applyFont="1" applyFill="1" applyBorder="1" applyAlignment="1">
      <alignment horizontal="center" vertical="center" wrapText="1"/>
    </xf>
    <xf numFmtId="0" fontId="16" fillId="8" borderId="2" xfId="0" applyFont="1" applyFill="1" applyBorder="1" applyAlignment="1">
      <alignment horizontal="left" vertical="center" wrapText="1"/>
    </xf>
    <xf numFmtId="168" fontId="33" fillId="8" borderId="3" xfId="0" applyNumberFormat="1" applyFont="1" applyFill="1" applyBorder="1" applyAlignment="1">
      <alignment horizontal="center" vertical="center" wrapText="1"/>
    </xf>
    <xf numFmtId="0" fontId="27" fillId="14" borderId="3" xfId="0" applyFont="1" applyFill="1" applyBorder="1" applyAlignment="1">
      <alignment horizontal="left" vertical="center" wrapText="1"/>
    </xf>
    <xf numFmtId="49" fontId="34" fillId="14" borderId="3" xfId="0" applyNumberFormat="1" applyFont="1" applyFill="1" applyBorder="1" applyAlignment="1">
      <alignment horizontal="center" vertical="center" wrapText="1"/>
    </xf>
    <xf numFmtId="49" fontId="6" fillId="14" borderId="3" xfId="0" applyNumberFormat="1" applyFont="1" applyFill="1" applyBorder="1" applyAlignment="1">
      <alignment horizontal="center" vertical="center" wrapText="1"/>
    </xf>
    <xf numFmtId="0" fontId="17" fillId="14" borderId="3" xfId="0" applyFont="1" applyFill="1" applyBorder="1" applyAlignment="1">
      <alignment horizontal="center" vertical="center" wrapText="1"/>
    </xf>
    <xf numFmtId="0" fontId="25" fillId="8" borderId="3" xfId="0" applyFont="1" applyFill="1" applyBorder="1" applyAlignment="1">
      <alignment horizontal="left" vertical="center" wrapText="1"/>
    </xf>
    <xf numFmtId="49" fontId="7" fillId="8" borderId="3" xfId="0" applyNumberFormat="1" applyFont="1" applyFill="1" applyBorder="1" applyAlignment="1">
      <alignment horizontal="center" vertical="center" wrapText="1"/>
    </xf>
    <xf numFmtId="49" fontId="6" fillId="8" borderId="3" xfId="0" applyNumberFormat="1" applyFont="1" applyFill="1" applyBorder="1" applyAlignment="1">
      <alignment horizontal="center" vertical="center" wrapText="1"/>
    </xf>
    <xf numFmtId="168" fontId="35" fillId="13" borderId="3" xfId="0" applyNumberFormat="1" applyFont="1" applyFill="1" applyBorder="1" applyAlignment="1">
      <alignment horizontal="center" vertical="center" wrapText="1"/>
    </xf>
    <xf numFmtId="0" fontId="36" fillId="13" borderId="3" xfId="0" applyFont="1" applyFill="1" applyBorder="1" applyAlignment="1">
      <alignment horizontal="left" vertical="center" wrapText="1"/>
    </xf>
    <xf numFmtId="0" fontId="37" fillId="6" borderId="2" xfId="0" applyFont="1" applyFill="1" applyBorder="1" applyAlignment="1">
      <alignment horizontal="left" vertical="center" wrapText="1"/>
    </xf>
    <xf numFmtId="0" fontId="6" fillId="16" borderId="3" xfId="0" applyFont="1" applyFill="1" applyBorder="1" applyAlignment="1">
      <alignment horizontal="left" vertical="center" wrapText="1"/>
    </xf>
    <xf numFmtId="168" fontId="6" fillId="16" borderId="3" xfId="0" applyNumberFormat="1" applyFont="1" applyFill="1" applyBorder="1" applyAlignment="1">
      <alignment horizontal="center" vertical="center" wrapText="1"/>
    </xf>
    <xf numFmtId="0" fontId="41" fillId="16" borderId="3" xfId="0" applyFont="1" applyFill="1" applyBorder="1" applyAlignment="1">
      <alignment horizontal="center" vertical="center" wrapText="1"/>
    </xf>
    <xf numFmtId="0" fontId="42" fillId="16" borderId="3"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30" fillId="16" borderId="3" xfId="0" applyFont="1" applyFill="1" applyBorder="1" applyAlignment="1">
      <alignment horizontal="left" vertical="center" wrapText="1"/>
    </xf>
    <xf numFmtId="168" fontId="6" fillId="7" borderId="3" xfId="0" applyNumberFormat="1" applyFont="1" applyFill="1" applyBorder="1" applyAlignment="1">
      <alignment horizontal="center" vertical="center" wrapText="1"/>
    </xf>
    <xf numFmtId="0" fontId="41" fillId="7" borderId="3" xfId="0" applyFont="1" applyFill="1" applyBorder="1" applyAlignment="1">
      <alignment horizontal="center" vertical="center" wrapText="1"/>
    </xf>
    <xf numFmtId="0" fontId="42" fillId="7" borderId="3" xfId="0" applyFont="1" applyFill="1" applyBorder="1" applyAlignment="1">
      <alignment horizontal="center" vertical="center" wrapText="1"/>
    </xf>
    <xf numFmtId="0" fontId="17" fillId="7" borderId="3" xfId="0" applyFont="1" applyFill="1" applyBorder="1" applyAlignment="1">
      <alignment horizontal="center" vertical="center" wrapText="1"/>
    </xf>
    <xf numFmtId="0" fontId="34" fillId="16" borderId="3" xfId="0" applyFont="1" applyFill="1" applyBorder="1" applyAlignment="1">
      <alignment horizontal="center" vertical="center" wrapText="1"/>
    </xf>
    <xf numFmtId="49" fontId="6" fillId="7" borderId="3" xfId="0" applyNumberFormat="1" applyFont="1" applyFill="1" applyBorder="1" applyAlignment="1">
      <alignment horizontal="center" vertical="center" wrapText="1"/>
    </xf>
    <xf numFmtId="168" fontId="7" fillId="7" borderId="3" xfId="0" applyNumberFormat="1" applyFont="1" applyFill="1" applyBorder="1" applyAlignment="1">
      <alignment horizontal="center" vertical="center" wrapText="1"/>
    </xf>
    <xf numFmtId="0" fontId="7" fillId="7" borderId="3" xfId="0" applyFont="1" applyFill="1" applyBorder="1" applyAlignment="1">
      <alignment horizontal="center" vertical="center" wrapText="1"/>
    </xf>
    <xf numFmtId="49" fontId="6" fillId="16" borderId="3" xfId="0" applyNumberFormat="1" applyFont="1" applyFill="1" applyBorder="1" applyAlignment="1">
      <alignment horizontal="center" vertical="center" wrapText="1"/>
    </xf>
    <xf numFmtId="168" fontId="19" fillId="15" borderId="3" xfId="0" applyNumberFormat="1" applyFont="1" applyFill="1" applyBorder="1" applyAlignment="1">
      <alignment horizontal="center" vertical="center" wrapText="1"/>
    </xf>
    <xf numFmtId="168" fontId="7" fillId="15" borderId="3" xfId="0" applyNumberFormat="1" applyFont="1" applyFill="1" applyBorder="1" applyAlignment="1">
      <alignment horizontal="center" vertical="center" wrapText="1"/>
    </xf>
    <xf numFmtId="0" fontId="34" fillId="15" borderId="3" xfId="0" applyFont="1" applyFill="1" applyBorder="1" applyAlignment="1">
      <alignment horizontal="center" vertical="center" wrapText="1"/>
    </xf>
    <xf numFmtId="0" fontId="17" fillId="9" borderId="3" xfId="0" applyFont="1" applyFill="1" applyBorder="1" applyAlignment="1">
      <alignment horizontal="left" vertical="center" wrapText="1"/>
    </xf>
    <xf numFmtId="0" fontId="6" fillId="9" borderId="3" xfId="0" applyFont="1" applyFill="1" applyBorder="1" applyAlignment="1">
      <alignment horizontal="left" vertical="center" wrapText="1"/>
    </xf>
    <xf numFmtId="0" fontId="43" fillId="9" borderId="3" xfId="0" applyFont="1" applyFill="1" applyBorder="1" applyAlignment="1">
      <alignment horizontal="left" vertical="center" wrapText="1"/>
    </xf>
    <xf numFmtId="0" fontId="34" fillId="6" borderId="3"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5" fillId="14" borderId="3" xfId="0" applyFont="1" applyFill="1" applyBorder="1" applyAlignment="1">
      <alignment horizontal="center" vertical="center" wrapText="1"/>
    </xf>
    <xf numFmtId="0" fontId="44" fillId="14" borderId="3" xfId="0" applyFont="1" applyFill="1" applyBorder="1" applyAlignment="1">
      <alignment horizontal="left" vertical="center" wrapText="1"/>
    </xf>
    <xf numFmtId="0" fontId="45" fillId="8" borderId="3" xfId="0" applyFont="1" applyFill="1" applyBorder="1" applyAlignment="1">
      <alignment horizontal="left" vertical="center" wrapText="1"/>
    </xf>
    <xf numFmtId="0" fontId="4" fillId="19" borderId="3" xfId="0" applyFont="1" applyFill="1" applyBorder="1" applyAlignment="1">
      <alignment horizontal="center" vertical="center" wrapText="1"/>
    </xf>
    <xf numFmtId="0" fontId="5" fillId="5" borderId="3" xfId="0" applyFont="1" applyFill="1" applyBorder="1" applyAlignment="1">
      <alignment horizontal="left" vertical="center" wrapText="1"/>
    </xf>
    <xf numFmtId="170" fontId="6" fillId="5" borderId="3" xfId="0" applyNumberFormat="1" applyFont="1" applyFill="1" applyBorder="1" applyAlignment="1">
      <alignment horizontal="center" vertical="center" wrapText="1"/>
    </xf>
    <xf numFmtId="0" fontId="14" fillId="5" borderId="3" xfId="0" applyFont="1" applyFill="1" applyBorder="1" applyAlignment="1">
      <alignment horizontal="left" vertical="center" wrapText="1"/>
    </xf>
    <xf numFmtId="168" fontId="6" fillId="8" borderId="3" xfId="0" applyNumberFormat="1" applyFont="1" applyFill="1" applyBorder="1" applyAlignment="1">
      <alignment horizontal="center" vertical="center" wrapText="1"/>
    </xf>
    <xf numFmtId="168" fontId="7" fillId="8" borderId="3" xfId="0" applyNumberFormat="1" applyFont="1" applyFill="1" applyBorder="1" applyAlignment="1">
      <alignment horizontal="center" vertical="center" wrapText="1"/>
    </xf>
    <xf numFmtId="0" fontId="5" fillId="7" borderId="3" xfId="0" applyFont="1" applyFill="1" applyBorder="1" applyAlignment="1">
      <alignment horizontal="left" vertical="center" wrapText="1"/>
    </xf>
    <xf numFmtId="170" fontId="6" fillId="7" borderId="3" xfId="0" applyNumberFormat="1" applyFont="1" applyFill="1" applyBorder="1" applyAlignment="1">
      <alignment horizontal="center" vertical="center" wrapText="1"/>
    </xf>
    <xf numFmtId="0" fontId="14" fillId="7" borderId="3" xfId="0" applyFont="1" applyFill="1" applyBorder="1" applyAlignment="1">
      <alignment horizontal="left" vertical="center" wrapText="1"/>
    </xf>
    <xf numFmtId="0" fontId="19" fillId="2" borderId="3" xfId="0" applyFont="1" applyFill="1" applyBorder="1" applyAlignment="1">
      <alignment horizontal="left" vertical="center" wrapText="1"/>
    </xf>
    <xf numFmtId="170" fontId="19" fillId="2" borderId="3" xfId="0" applyNumberFormat="1" applyFont="1" applyFill="1" applyBorder="1" applyAlignment="1">
      <alignment horizontal="center" vertical="center" wrapText="1"/>
    </xf>
    <xf numFmtId="0" fontId="50" fillId="2" borderId="3" xfId="0" applyFont="1" applyFill="1" applyBorder="1" applyAlignment="1">
      <alignment horizontal="left" vertical="center" wrapText="1"/>
    </xf>
    <xf numFmtId="0" fontId="0" fillId="2" borderId="3" xfId="0" applyFill="1" applyBorder="1" applyAlignment="1">
      <alignment horizontal="center" vertical="center" wrapText="1"/>
    </xf>
    <xf numFmtId="0" fontId="6" fillId="2" borderId="3" xfId="0" applyFont="1" applyFill="1" applyBorder="1"/>
    <xf numFmtId="10" fontId="6" fillId="7" borderId="3" xfId="0" applyNumberFormat="1" applyFont="1" applyFill="1" applyBorder="1" applyAlignment="1">
      <alignment horizontal="center" vertical="center" wrapText="1"/>
    </xf>
    <xf numFmtId="10" fontId="6" fillId="7" borderId="3" xfId="0" applyNumberFormat="1" applyFont="1" applyFill="1" applyBorder="1"/>
    <xf numFmtId="4" fontId="6" fillId="5" borderId="3" xfId="0" applyNumberFormat="1" applyFont="1" applyFill="1" applyBorder="1" applyAlignment="1">
      <alignment horizontal="center" vertical="center" wrapText="1"/>
    </xf>
    <xf numFmtId="10" fontId="6" fillId="5" borderId="3" xfId="0" applyNumberFormat="1" applyFont="1" applyFill="1" applyBorder="1" applyAlignment="1">
      <alignment horizontal="center" vertical="center" wrapText="1"/>
    </xf>
    <xf numFmtId="10" fontId="6" fillId="5" borderId="3" xfId="0" applyNumberFormat="1" applyFont="1" applyFill="1" applyBorder="1"/>
    <xf numFmtId="0" fontId="3" fillId="2" borderId="3" xfId="0" applyFont="1" applyFill="1" applyBorder="1" applyAlignment="1">
      <alignment horizontal="left" vertical="center" wrapText="1"/>
    </xf>
    <xf numFmtId="4" fontId="3" fillId="2" borderId="3" xfId="0" applyNumberFormat="1" applyFont="1" applyFill="1" applyBorder="1" applyAlignment="1">
      <alignment horizontal="center" vertical="center" wrapText="1"/>
    </xf>
    <xf numFmtId="10" fontId="3" fillId="2" borderId="3" xfId="0" applyNumberFormat="1" applyFont="1" applyFill="1" applyBorder="1" applyAlignment="1">
      <alignment horizontal="center" vertical="center" wrapText="1"/>
    </xf>
    <xf numFmtId="10" fontId="6" fillId="2" borderId="3" xfId="0" applyNumberFormat="1" applyFont="1" applyFill="1" applyBorder="1"/>
    <xf numFmtId="0" fontId="6" fillId="7" borderId="0" xfId="0" applyFont="1" applyFill="1"/>
    <xf numFmtId="165" fontId="6" fillId="5" borderId="3" xfId="0" applyNumberFormat="1" applyFont="1" applyFill="1" applyBorder="1" applyAlignment="1">
      <alignment horizontal="center" vertical="center" wrapText="1"/>
    </xf>
    <xf numFmtId="0" fontId="51" fillId="5" borderId="3" xfId="0" applyFont="1" applyFill="1" applyBorder="1" applyAlignment="1">
      <alignment horizontal="left" vertical="center" wrapText="1"/>
    </xf>
    <xf numFmtId="172" fontId="6" fillId="5" borderId="3" xfId="0" applyNumberFormat="1" applyFont="1" applyFill="1" applyBorder="1" applyAlignment="1">
      <alignment horizontal="center" vertical="center" wrapText="1"/>
    </xf>
    <xf numFmtId="165" fontId="51" fillId="5" borderId="3" xfId="0" applyNumberFormat="1" applyFont="1" applyFill="1" applyBorder="1" applyAlignment="1">
      <alignment horizontal="left" vertical="center" wrapText="1"/>
    </xf>
    <xf numFmtId="165" fontId="6" fillId="7" borderId="3" xfId="0" applyNumberFormat="1" applyFont="1" applyFill="1" applyBorder="1" applyAlignment="1">
      <alignment horizontal="center" vertical="center" wrapText="1"/>
    </xf>
    <xf numFmtId="165" fontId="51" fillId="7" borderId="3" xfId="0" applyNumberFormat="1" applyFont="1" applyFill="1" applyBorder="1" applyAlignment="1">
      <alignment horizontal="left" vertical="center" wrapText="1"/>
    </xf>
    <xf numFmtId="172" fontId="6" fillId="7" borderId="3" xfId="0" applyNumberFormat="1" applyFont="1" applyFill="1" applyBorder="1" applyAlignment="1">
      <alignment horizontal="center" vertical="center" wrapText="1"/>
    </xf>
    <xf numFmtId="0" fontId="51" fillId="7" borderId="3" xfId="0" applyFont="1" applyFill="1" applyBorder="1" applyAlignment="1">
      <alignment horizontal="left" vertical="center" wrapText="1"/>
    </xf>
    <xf numFmtId="168" fontId="6" fillId="9" borderId="3" xfId="0" applyNumberFormat="1" applyFont="1" applyFill="1" applyBorder="1" applyAlignment="1">
      <alignment horizontal="center" vertical="center" wrapText="1"/>
    </xf>
    <xf numFmtId="0" fontId="51" fillId="9" borderId="3" xfId="0" applyFont="1" applyFill="1" applyBorder="1" applyAlignment="1">
      <alignment horizontal="left" vertical="center" wrapText="1"/>
    </xf>
    <xf numFmtId="0" fontId="51" fillId="8" borderId="3" xfId="0" applyFont="1" applyFill="1" applyBorder="1" applyAlignment="1">
      <alignment horizontal="left" vertical="center" wrapText="1"/>
    </xf>
    <xf numFmtId="168" fontId="6" fillId="21" borderId="3" xfId="0" applyNumberFormat="1" applyFont="1" applyFill="1" applyBorder="1" applyAlignment="1">
      <alignment horizontal="center" vertical="center" wrapText="1"/>
    </xf>
    <xf numFmtId="168" fontId="3" fillId="2" borderId="3" xfId="0" applyNumberFormat="1" applyFont="1" applyFill="1" applyBorder="1" applyAlignment="1">
      <alignment horizontal="center" vertical="center" wrapText="1"/>
    </xf>
    <xf numFmtId="0" fontId="6" fillId="7" borderId="3" xfId="0" applyFont="1" applyFill="1" applyBorder="1"/>
    <xf numFmtId="3" fontId="6" fillId="7" borderId="3" xfId="0" applyNumberFormat="1" applyFont="1" applyFill="1" applyBorder="1" applyAlignment="1">
      <alignment horizontal="center" vertical="center" wrapText="1"/>
    </xf>
    <xf numFmtId="168" fontId="5" fillId="8" borderId="3" xfId="0" applyNumberFormat="1" applyFont="1" applyFill="1" applyBorder="1" applyAlignment="1">
      <alignment horizontal="center" vertical="center" wrapText="1"/>
    </xf>
    <xf numFmtId="168" fontId="16" fillId="8" borderId="3" xfId="0" applyNumberFormat="1" applyFont="1" applyFill="1" applyBorder="1" applyAlignment="1">
      <alignment horizontal="left" vertical="center" wrapText="1"/>
    </xf>
    <xf numFmtId="3" fontId="6" fillId="5" borderId="3" xfId="0" applyNumberFormat="1" applyFont="1" applyFill="1" applyBorder="1" applyAlignment="1">
      <alignment horizontal="center" vertical="center" wrapText="1"/>
    </xf>
    <xf numFmtId="168" fontId="6" fillId="5" borderId="3" xfId="0" applyNumberFormat="1" applyFont="1" applyFill="1" applyBorder="1" applyAlignment="1">
      <alignment horizontal="center" vertical="center" wrapText="1"/>
    </xf>
    <xf numFmtId="168" fontId="30" fillId="5" borderId="3" xfId="0" applyNumberFormat="1" applyFont="1" applyFill="1" applyBorder="1" applyAlignment="1">
      <alignment horizontal="left" vertical="center" wrapText="1"/>
    </xf>
    <xf numFmtId="168" fontId="30" fillId="7" borderId="3" xfId="0" applyNumberFormat="1" applyFont="1" applyFill="1" applyBorder="1" applyAlignment="1">
      <alignment horizontal="left" vertical="center" wrapText="1"/>
    </xf>
    <xf numFmtId="0" fontId="3" fillId="13" borderId="3" xfId="0" applyFont="1" applyFill="1" applyBorder="1" applyAlignment="1">
      <alignment horizontal="left" vertical="center" wrapText="1"/>
    </xf>
    <xf numFmtId="168" fontId="8" fillId="13" borderId="3" xfId="0" applyNumberFormat="1" applyFont="1" applyFill="1" applyBorder="1" applyAlignment="1">
      <alignment horizontal="center" vertical="center" wrapText="1"/>
    </xf>
    <xf numFmtId="168" fontId="6" fillId="13" borderId="3" xfId="0" applyNumberFormat="1" applyFont="1" applyFill="1" applyBorder="1" applyAlignment="1">
      <alignment horizontal="center" vertical="center" wrapText="1"/>
    </xf>
    <xf numFmtId="166" fontId="6" fillId="9" borderId="3" xfId="0" applyNumberFormat="1" applyFont="1" applyFill="1" applyBorder="1" applyAlignment="1">
      <alignment horizontal="center" vertical="center" wrapText="1"/>
    </xf>
    <xf numFmtId="0" fontId="14" fillId="8" borderId="3" xfId="0" applyFont="1" applyFill="1" applyBorder="1" applyAlignment="1">
      <alignment horizontal="left" vertical="center" wrapText="1"/>
    </xf>
    <xf numFmtId="0" fontId="52" fillId="22" borderId="3" xfId="0" applyFont="1" applyFill="1" applyBorder="1" applyAlignment="1">
      <alignment horizontal="left" vertical="center" wrapText="1"/>
    </xf>
    <xf numFmtId="168" fontId="52" fillId="22" borderId="3" xfId="0" applyNumberFormat="1" applyFont="1" applyFill="1" applyBorder="1" applyAlignment="1">
      <alignment horizontal="center" vertical="center" wrapText="1"/>
    </xf>
    <xf numFmtId="168" fontId="53" fillId="22" borderId="3" xfId="0" applyNumberFormat="1" applyFont="1" applyFill="1" applyBorder="1" applyAlignment="1">
      <alignment horizontal="center" vertical="center" wrapText="1"/>
    </xf>
    <xf numFmtId="0" fontId="6" fillId="22" borderId="3" xfId="0" applyFont="1" applyFill="1" applyBorder="1" applyAlignment="1">
      <alignment horizontal="center" vertical="center" wrapText="1"/>
    </xf>
    <xf numFmtId="0" fontId="54" fillId="22" borderId="3" xfId="0" applyFont="1" applyFill="1" applyBorder="1" applyAlignment="1">
      <alignment horizontal="left" vertical="center" wrapText="1"/>
    </xf>
    <xf numFmtId="168" fontId="4" fillId="2" borderId="3" xfId="0" applyNumberFormat="1" applyFont="1" applyFill="1" applyBorder="1" applyAlignment="1">
      <alignment horizontal="center" vertical="center" wrapText="1"/>
    </xf>
    <xf numFmtId="166" fontId="38" fillId="2" borderId="3" xfId="0" applyNumberFormat="1" applyFont="1" applyFill="1" applyBorder="1" applyAlignment="1">
      <alignment horizontal="left" vertical="center" wrapText="1"/>
    </xf>
    <xf numFmtId="0" fontId="38" fillId="2" borderId="3" xfId="0" applyFont="1" applyFill="1" applyBorder="1" applyAlignment="1">
      <alignment horizontal="left" vertical="center" wrapText="1"/>
    </xf>
    <xf numFmtId="166" fontId="6" fillId="8" borderId="3" xfId="0" applyNumberFormat="1" applyFont="1" applyFill="1" applyBorder="1" applyAlignment="1">
      <alignment horizontal="center" vertical="center" wrapText="1"/>
    </xf>
    <xf numFmtId="166" fontId="35" fillId="13" borderId="3" xfId="0" applyNumberFormat="1" applyFont="1" applyFill="1" applyBorder="1" applyAlignment="1">
      <alignment horizontal="center" vertical="center" wrapText="1"/>
    </xf>
    <xf numFmtId="0" fontId="38" fillId="13" borderId="3" xfId="0" applyFont="1" applyFill="1" applyBorder="1" applyAlignment="1">
      <alignment horizontal="left" vertical="center" wrapText="1"/>
    </xf>
    <xf numFmtId="166" fontId="6" fillId="7" borderId="0" xfId="0" applyNumberFormat="1" applyFont="1" applyFill="1"/>
    <xf numFmtId="168" fontId="51" fillId="7" borderId="3" xfId="0" applyNumberFormat="1" applyFont="1" applyFill="1" applyBorder="1" applyAlignment="1">
      <alignment horizontal="left" vertical="center" wrapText="1"/>
    </xf>
    <xf numFmtId="168" fontId="51" fillId="5" borderId="3" xfId="0" applyNumberFormat="1" applyFont="1" applyFill="1" applyBorder="1" applyAlignment="1">
      <alignment horizontal="left" vertical="center" wrapText="1"/>
    </xf>
    <xf numFmtId="165" fontId="6" fillId="11" borderId="3" xfId="0" applyNumberFormat="1" applyFont="1" applyFill="1" applyBorder="1" applyAlignment="1">
      <alignment horizontal="center" vertical="center" wrapText="1"/>
    </xf>
    <xf numFmtId="168" fontId="6" fillId="6" borderId="3" xfId="0" applyNumberFormat="1" applyFont="1" applyFill="1" applyBorder="1" applyAlignment="1">
      <alignment horizontal="center" vertical="center" wrapText="1"/>
    </xf>
    <xf numFmtId="168" fontId="8" fillId="19" borderId="3" xfId="0" applyNumberFormat="1" applyFont="1" applyFill="1" applyBorder="1" applyAlignment="1">
      <alignment horizontal="center" vertical="center" wrapText="1"/>
    </xf>
    <xf numFmtId="173" fontId="6" fillId="11" borderId="3" xfId="0" applyNumberFormat="1" applyFont="1" applyFill="1" applyBorder="1" applyAlignment="1">
      <alignment horizontal="center" vertical="center" wrapText="1"/>
    </xf>
    <xf numFmtId="168" fontId="13" fillId="11" borderId="3" xfId="0" applyNumberFormat="1" applyFont="1" applyFill="1" applyBorder="1" applyAlignment="1">
      <alignment horizontal="center" vertical="center" wrapText="1"/>
    </xf>
    <xf numFmtId="168" fontId="8" fillId="12" borderId="3" xfId="0" applyNumberFormat="1" applyFont="1" applyFill="1" applyBorder="1" applyAlignment="1">
      <alignment horizontal="center" vertical="center" wrapText="1"/>
    </xf>
    <xf numFmtId="0" fontId="4" fillId="12" borderId="3" xfId="0" applyFont="1" applyFill="1" applyBorder="1" applyAlignment="1">
      <alignment horizontal="left" vertical="center" wrapText="1"/>
    </xf>
    <xf numFmtId="173" fontId="6" fillId="5" borderId="3" xfId="0" applyNumberFormat="1" applyFont="1" applyFill="1" applyBorder="1" applyAlignment="1">
      <alignment horizontal="center" vertical="center" wrapText="1"/>
    </xf>
    <xf numFmtId="173" fontId="6" fillId="7" borderId="3" xfId="0" applyNumberFormat="1" applyFont="1" applyFill="1" applyBorder="1" applyAlignment="1">
      <alignment horizontal="center" vertical="center" wrapText="1"/>
    </xf>
    <xf numFmtId="3" fontId="6" fillId="8" borderId="3" xfId="0" applyNumberFormat="1" applyFont="1" applyFill="1" applyBorder="1" applyAlignment="1">
      <alignment horizontal="center" vertical="center" wrapText="1"/>
    </xf>
    <xf numFmtId="173" fontId="6" fillId="8" borderId="3" xfId="0" applyNumberFormat="1" applyFont="1" applyFill="1" applyBorder="1" applyAlignment="1">
      <alignment horizontal="center" vertical="center" wrapText="1"/>
    </xf>
    <xf numFmtId="168" fontId="51" fillId="8" borderId="3" xfId="0" applyNumberFormat="1" applyFont="1" applyFill="1" applyBorder="1" applyAlignment="1">
      <alignment horizontal="left" vertical="center" wrapText="1"/>
    </xf>
    <xf numFmtId="3" fontId="6" fillId="9" borderId="3" xfId="0" applyNumberFormat="1" applyFont="1" applyFill="1" applyBorder="1" applyAlignment="1">
      <alignment horizontal="center" vertical="center" wrapText="1"/>
    </xf>
    <xf numFmtId="173" fontId="6" fillId="9" borderId="3" xfId="0" applyNumberFormat="1" applyFont="1" applyFill="1" applyBorder="1" applyAlignment="1">
      <alignment horizontal="center" vertical="center" wrapText="1"/>
    </xf>
    <xf numFmtId="173" fontId="51" fillId="9" borderId="3" xfId="0" applyNumberFormat="1" applyFont="1" applyFill="1" applyBorder="1" applyAlignment="1">
      <alignment horizontal="left" vertical="center" wrapText="1"/>
    </xf>
    <xf numFmtId="4" fontId="13" fillId="5" borderId="3" xfId="0" applyNumberFormat="1" applyFont="1" applyFill="1" applyBorder="1" applyAlignment="1">
      <alignment horizontal="center" vertical="center" wrapText="1"/>
    </xf>
    <xf numFmtId="4" fontId="13" fillId="7" borderId="3" xfId="0" applyNumberFormat="1" applyFont="1" applyFill="1" applyBorder="1" applyAlignment="1">
      <alignment horizontal="center" vertical="center" wrapText="1"/>
    </xf>
    <xf numFmtId="168" fontId="8" fillId="10" borderId="3" xfId="0" applyNumberFormat="1" applyFont="1" applyFill="1" applyBorder="1" applyAlignment="1">
      <alignment horizontal="center" vertical="center" wrapText="1"/>
    </xf>
    <xf numFmtId="166" fontId="6" fillId="5" borderId="3" xfId="0" applyNumberFormat="1" applyFont="1" applyFill="1" applyBorder="1" applyAlignment="1">
      <alignment horizontal="center" vertical="center" wrapText="1"/>
    </xf>
    <xf numFmtId="166" fontId="6" fillId="7" borderId="3" xfId="0" applyNumberFormat="1" applyFont="1" applyFill="1" applyBorder="1" applyAlignment="1">
      <alignment horizontal="center" vertical="center" wrapText="1"/>
    </xf>
    <xf numFmtId="168" fontId="56" fillId="2" borderId="5" xfId="0" applyNumberFormat="1" applyFont="1" applyFill="1" applyBorder="1" applyAlignment="1">
      <alignment horizontal="center" vertical="center" wrapText="1"/>
    </xf>
    <xf numFmtId="168" fontId="14" fillId="8" borderId="3" xfId="0" applyNumberFormat="1" applyFont="1" applyFill="1" applyBorder="1" applyAlignment="1">
      <alignment horizontal="left" vertical="center" wrapText="1"/>
    </xf>
    <xf numFmtId="174" fontId="7" fillId="8" borderId="3" xfId="0" applyNumberFormat="1" applyFont="1" applyFill="1" applyBorder="1" applyAlignment="1">
      <alignment horizontal="center" vertical="center" wrapText="1"/>
    </xf>
    <xf numFmtId="168" fontId="57" fillId="8"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8" fillId="9" borderId="3"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0" fillId="7" borderId="3" xfId="0" applyFill="1" applyBorder="1"/>
    <xf numFmtId="0" fontId="23" fillId="5" borderId="3" xfId="0" applyFont="1" applyFill="1" applyBorder="1" applyAlignment="1">
      <alignment horizontal="left" vertical="center" wrapText="1"/>
    </xf>
    <xf numFmtId="0" fontId="59" fillId="9" borderId="3" xfId="0" applyFont="1" applyFill="1" applyBorder="1" applyAlignment="1">
      <alignment horizontal="left" vertical="top" wrapText="1"/>
    </xf>
    <xf numFmtId="0" fontId="34" fillId="9" borderId="3" xfId="0" applyFont="1" applyFill="1" applyBorder="1" applyAlignment="1">
      <alignment horizontal="center" vertical="center" wrapText="1"/>
    </xf>
    <xf numFmtId="0" fontId="17" fillId="9" borderId="3" xfId="0" applyFont="1" applyFill="1" applyBorder="1" applyAlignment="1">
      <alignment horizontal="center" vertical="center" wrapText="1"/>
    </xf>
    <xf numFmtId="0" fontId="59" fillId="14" borderId="3" xfId="0" applyFont="1" applyFill="1" applyBorder="1" applyAlignment="1">
      <alignment horizontal="left" vertical="top" wrapText="1"/>
    </xf>
    <xf numFmtId="0" fontId="7" fillId="14" borderId="3" xfId="0" applyFont="1" applyFill="1" applyBorder="1" applyAlignment="1">
      <alignment horizontal="center" vertical="center" wrapText="1"/>
    </xf>
    <xf numFmtId="0" fontId="4" fillId="23" borderId="3" xfId="0" applyFont="1" applyFill="1" applyBorder="1" applyAlignment="1">
      <alignment horizontal="center" vertical="center" wrapText="1"/>
    </xf>
    <xf numFmtId="0" fontId="59" fillId="4" borderId="3" xfId="0" applyFont="1" applyFill="1" applyBorder="1" applyAlignment="1">
      <alignment horizontal="left" vertical="top" wrapText="1"/>
    </xf>
    <xf numFmtId="0" fontId="34" fillId="4" borderId="3"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0" fillId="7" borderId="3" xfId="0" applyFont="1" applyFill="1" applyBorder="1" applyAlignment="1">
      <alignment horizontal="left" vertical="top" wrapText="1"/>
    </xf>
    <xf numFmtId="0" fontId="61" fillId="7" borderId="3" xfId="0" applyFont="1" applyFill="1" applyBorder="1" applyAlignment="1">
      <alignment horizontal="center" vertical="center" wrapText="1"/>
    </xf>
    <xf numFmtId="0" fontId="62" fillId="16" borderId="3" xfId="0" applyFont="1" applyFill="1" applyBorder="1" applyAlignment="1">
      <alignment horizontal="left" vertical="top" wrapText="1"/>
    </xf>
    <xf numFmtId="0" fontId="23" fillId="16" borderId="3" xfId="0" applyFont="1" applyFill="1" applyBorder="1" applyAlignment="1">
      <alignment horizontal="left" vertical="top" wrapText="1"/>
    </xf>
    <xf numFmtId="0" fontId="43" fillId="9" borderId="3" xfId="0" applyFont="1" applyFill="1" applyBorder="1" applyAlignment="1">
      <alignment horizontal="left" vertical="top" wrapText="1"/>
    </xf>
    <xf numFmtId="0" fontId="6" fillId="16" borderId="3" xfId="0" applyFont="1" applyFill="1" applyBorder="1" applyAlignment="1">
      <alignment horizontal="center" vertical="center" wrapText="1"/>
    </xf>
    <xf numFmtId="0" fontId="59" fillId="16" borderId="3" xfId="0" applyFont="1" applyFill="1" applyBorder="1" applyAlignment="1">
      <alignment horizontal="left" vertical="top" wrapText="1"/>
    </xf>
    <xf numFmtId="0" fontId="23" fillId="7" borderId="3" xfId="0" applyFont="1" applyFill="1" applyBorder="1" applyAlignment="1">
      <alignment horizontal="left" vertical="top" wrapText="1"/>
    </xf>
    <xf numFmtId="0" fontId="63"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64" fillId="4" borderId="3" xfId="0" applyFont="1" applyFill="1" applyBorder="1" applyAlignment="1">
      <alignment horizontal="left" vertical="center" wrapText="1"/>
    </xf>
    <xf numFmtId="167" fontId="6" fillId="4" borderId="3" xfId="0" applyNumberFormat="1" applyFont="1" applyFill="1" applyBorder="1" applyAlignment="1">
      <alignment horizontal="center" vertical="center" wrapText="1"/>
    </xf>
    <xf numFmtId="0" fontId="65" fillId="5"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63" fillId="8" borderId="3" xfId="0" applyFont="1" applyFill="1" applyBorder="1" applyAlignment="1">
      <alignment horizontal="center" vertical="center" wrapText="1"/>
    </xf>
    <xf numFmtId="0" fontId="64" fillId="8" borderId="3" xfId="0" applyFont="1" applyFill="1" applyBorder="1" applyAlignment="1">
      <alignment horizontal="left" vertical="center" wrapText="1"/>
    </xf>
    <xf numFmtId="167" fontId="6" fillId="8" borderId="3" xfId="0" applyNumberFormat="1" applyFont="1" applyFill="1" applyBorder="1" applyAlignment="1">
      <alignment horizontal="center" vertical="center" wrapText="1"/>
    </xf>
    <xf numFmtId="0" fontId="6" fillId="6" borderId="3" xfId="0" applyFont="1" applyFill="1" applyBorder="1" applyAlignment="1">
      <alignment horizontal="left" vertical="center" wrapText="1"/>
    </xf>
    <xf numFmtId="0" fontId="1" fillId="6" borderId="3" xfId="0" applyFont="1" applyFill="1" applyBorder="1" applyAlignment="1">
      <alignment horizontal="center" vertical="center" wrapText="1"/>
    </xf>
    <xf numFmtId="0" fontId="63" fillId="6" borderId="3" xfId="0" applyFont="1" applyFill="1" applyBorder="1" applyAlignment="1">
      <alignment horizontal="center" vertical="center" wrapText="1"/>
    </xf>
    <xf numFmtId="0" fontId="64" fillId="6" borderId="3" xfId="0" applyFont="1" applyFill="1" applyBorder="1" applyAlignment="1">
      <alignment horizontal="left" vertical="center" wrapText="1"/>
    </xf>
    <xf numFmtId="167" fontId="6" fillId="6" borderId="3" xfId="0" applyNumberFormat="1" applyFont="1" applyFill="1" applyBorder="1" applyAlignment="1">
      <alignment horizontal="center" vertical="center" wrapText="1"/>
    </xf>
    <xf numFmtId="0" fontId="1" fillId="14" borderId="3" xfId="0" applyFont="1" applyFill="1" applyBorder="1" applyAlignment="1">
      <alignment horizontal="center" vertical="center" wrapText="1"/>
    </xf>
    <xf numFmtId="0" fontId="63" fillId="14" borderId="3" xfId="0" applyFont="1" applyFill="1" applyBorder="1" applyAlignment="1">
      <alignment horizontal="center" vertical="center" wrapText="1"/>
    </xf>
    <xf numFmtId="0" fontId="64" fillId="14" borderId="3" xfId="0" applyFont="1" applyFill="1" applyBorder="1" applyAlignment="1">
      <alignment horizontal="left" vertical="center" wrapText="1"/>
    </xf>
    <xf numFmtId="0" fontId="14" fillId="7" borderId="3" xfId="0" applyFont="1" applyFill="1" applyBorder="1" applyAlignment="1">
      <alignment horizontal="left" vertical="top" wrapText="1"/>
    </xf>
    <xf numFmtId="0" fontId="14" fillId="5" borderId="3" xfId="0" applyFont="1" applyFill="1" applyBorder="1" applyAlignment="1">
      <alignment horizontal="left" vertical="top" wrapText="1"/>
    </xf>
    <xf numFmtId="168" fontId="6" fillId="7" borderId="3" xfId="0" applyNumberFormat="1" applyFont="1" applyFill="1" applyBorder="1"/>
    <xf numFmtId="166" fontId="6" fillId="7" borderId="3" xfId="0" applyNumberFormat="1" applyFont="1" applyFill="1" applyBorder="1"/>
    <xf numFmtId="3" fontId="3" fillId="12" borderId="3" xfId="0" applyNumberFormat="1" applyFont="1" applyFill="1" applyBorder="1" applyAlignment="1">
      <alignment horizontal="left" vertical="center" wrapText="1"/>
    </xf>
    <xf numFmtId="0" fontId="0" fillId="0" borderId="6" xfId="0" applyBorder="1"/>
    <xf numFmtId="3" fontId="3" fillId="9" borderId="3" xfId="0" applyNumberFormat="1" applyFont="1" applyFill="1" applyBorder="1" applyAlignment="1">
      <alignment horizontal="left" vertical="center" wrapText="1"/>
    </xf>
    <xf numFmtId="3" fontId="4" fillId="2" borderId="3" xfId="0" applyNumberFormat="1" applyFont="1" applyFill="1" applyBorder="1" applyAlignment="1">
      <alignment horizontal="center" vertical="center" wrapText="1"/>
    </xf>
    <xf numFmtId="3" fontId="60" fillId="7" borderId="3" xfId="0" applyNumberFormat="1" applyFont="1" applyFill="1" applyBorder="1" applyAlignment="1">
      <alignment horizontal="center" vertical="center" wrapText="1"/>
    </xf>
    <xf numFmtId="168" fontId="5" fillId="14" borderId="3" xfId="0" applyNumberFormat="1" applyFont="1" applyFill="1" applyBorder="1" applyAlignment="1">
      <alignment horizontal="center" vertical="center" wrapText="1"/>
    </xf>
    <xf numFmtId="168" fontId="52" fillId="11" borderId="3" xfId="0" applyNumberFormat="1" applyFont="1" applyFill="1" applyBorder="1" applyAlignment="1">
      <alignment horizontal="center" vertical="center" wrapText="1"/>
    </xf>
    <xf numFmtId="168" fontId="23" fillId="7" borderId="3" xfId="0" applyNumberFormat="1" applyFont="1" applyFill="1" applyBorder="1" applyAlignment="1">
      <alignment horizontal="left" vertical="center" wrapText="1"/>
    </xf>
    <xf numFmtId="168" fontId="27" fillId="9" borderId="3" xfId="0" applyNumberFormat="1" applyFont="1" applyFill="1" applyBorder="1" applyAlignment="1">
      <alignment horizontal="center" vertical="center" wrapText="1"/>
    </xf>
    <xf numFmtId="3" fontId="60" fillId="5" borderId="3" xfId="0" applyNumberFormat="1" applyFont="1" applyFill="1" applyBorder="1" applyAlignment="1">
      <alignment horizontal="center" vertical="center" wrapText="1"/>
    </xf>
    <xf numFmtId="168" fontId="23" fillId="5" borderId="3" xfId="0" applyNumberFormat="1" applyFont="1" applyFill="1" applyBorder="1" applyAlignment="1">
      <alignment horizontal="left" vertical="center" wrapText="1"/>
    </xf>
    <xf numFmtId="168" fontId="5" fillId="6" borderId="3" xfId="0" applyNumberFormat="1" applyFont="1" applyFill="1" applyBorder="1" applyAlignment="1">
      <alignment horizontal="center" vertical="center" wrapText="1"/>
    </xf>
    <xf numFmtId="3" fontId="4" fillId="12" borderId="3" xfId="0" applyNumberFormat="1" applyFont="1" applyFill="1" applyBorder="1" applyAlignment="1">
      <alignment horizontal="center" vertical="center" wrapText="1"/>
    </xf>
    <xf numFmtId="167" fontId="4" fillId="12" borderId="3" xfId="0" applyNumberFormat="1" applyFont="1" applyFill="1" applyBorder="1" applyAlignment="1">
      <alignment horizontal="center" vertical="center" wrapText="1"/>
    </xf>
    <xf numFmtId="168" fontId="38" fillId="12" borderId="3" xfId="0" applyNumberFormat="1" applyFont="1" applyFill="1" applyBorder="1" applyAlignment="1">
      <alignment horizontal="left" vertical="center" wrapText="1"/>
    </xf>
    <xf numFmtId="167" fontId="66" fillId="12" borderId="3" xfId="0" applyNumberFormat="1" applyFont="1" applyFill="1" applyBorder="1" applyAlignment="1">
      <alignment horizontal="center" vertical="center" wrapText="1"/>
    </xf>
    <xf numFmtId="3" fontId="3" fillId="13" borderId="3" xfId="0" applyNumberFormat="1" applyFont="1" applyFill="1" applyBorder="1" applyAlignment="1">
      <alignment horizontal="left" vertical="center" wrapText="1"/>
    </xf>
    <xf numFmtId="3" fontId="14" fillId="8" borderId="3" xfId="0" applyNumberFormat="1" applyFont="1" applyFill="1" applyBorder="1" applyAlignment="1">
      <alignment horizontal="left" vertical="center" wrapText="1"/>
    </xf>
    <xf numFmtId="3" fontId="4" fillId="13" borderId="3" xfId="0" applyNumberFormat="1" applyFont="1" applyFill="1" applyBorder="1" applyAlignment="1">
      <alignment horizontal="center" vertical="center" wrapText="1"/>
    </xf>
    <xf numFmtId="168" fontId="4" fillId="13" borderId="3" xfId="0" applyNumberFormat="1" applyFont="1" applyFill="1" applyBorder="1" applyAlignment="1">
      <alignment horizontal="center" vertical="center" wrapText="1"/>
    </xf>
    <xf numFmtId="168" fontId="38" fillId="13" borderId="3" xfId="0" applyNumberFormat="1" applyFont="1" applyFill="1" applyBorder="1" applyAlignment="1">
      <alignment horizontal="center" vertical="center" wrapText="1"/>
    </xf>
    <xf numFmtId="168" fontId="25" fillId="8" borderId="3" xfId="0" applyNumberFormat="1" applyFont="1" applyFill="1" applyBorder="1" applyAlignment="1">
      <alignment horizontal="center" vertical="center" wrapText="1"/>
    </xf>
    <xf numFmtId="168" fontId="27" fillId="6" borderId="3" xfId="0" applyNumberFormat="1" applyFont="1" applyFill="1" applyBorder="1" applyAlignment="1">
      <alignment horizontal="center" vertical="center" wrapText="1"/>
    </xf>
    <xf numFmtId="3" fontId="60" fillId="6" borderId="3" xfId="0" applyNumberFormat="1" applyFont="1" applyFill="1" applyBorder="1" applyAlignment="1">
      <alignment horizontal="center" vertical="center" wrapText="1"/>
    </xf>
    <xf numFmtId="167" fontId="6" fillId="5" borderId="3" xfId="0" applyNumberFormat="1" applyFont="1" applyFill="1" applyBorder="1" applyAlignment="1">
      <alignment horizontal="center" vertical="center" wrapText="1"/>
    </xf>
    <xf numFmtId="167" fontId="6" fillId="7" borderId="3" xfId="0" applyNumberFormat="1" applyFont="1" applyFill="1" applyBorder="1" applyAlignment="1">
      <alignment horizontal="center" vertical="center" wrapText="1"/>
    </xf>
    <xf numFmtId="167" fontId="6" fillId="7" borderId="3" xfId="0" applyNumberFormat="1" applyFont="1" applyFill="1" applyBorder="1"/>
    <xf numFmtId="3" fontId="6" fillId="6" borderId="3" xfId="0" applyNumberFormat="1" applyFont="1" applyFill="1" applyBorder="1" applyAlignment="1">
      <alignment horizontal="center" vertical="center" wrapText="1"/>
    </xf>
    <xf numFmtId="167" fontId="6" fillId="9" borderId="3" xfId="0" applyNumberFormat="1" applyFont="1" applyFill="1" applyBorder="1" applyAlignment="1">
      <alignment horizontal="center" vertical="center" wrapText="1"/>
    </xf>
    <xf numFmtId="167" fontId="17" fillId="9" borderId="3" xfId="0" applyNumberFormat="1" applyFont="1" applyFill="1" applyBorder="1" applyAlignment="1">
      <alignment horizontal="center" vertical="center" wrapText="1"/>
    </xf>
    <xf numFmtId="0" fontId="14" fillId="5" borderId="3" xfId="0" applyFont="1" applyFill="1" applyBorder="1" applyAlignment="1">
      <alignment horizontal="center" vertical="center" wrapText="1"/>
    </xf>
    <xf numFmtId="167" fontId="7" fillId="8" borderId="3" xfId="0" applyNumberFormat="1" applyFont="1" applyFill="1" applyBorder="1" applyAlignment="1">
      <alignment horizontal="center" vertical="center" wrapText="1"/>
    </xf>
    <xf numFmtId="0" fontId="14" fillId="7" borderId="3" xfId="0" applyFont="1" applyFill="1" applyBorder="1" applyAlignment="1">
      <alignment horizontal="center" vertical="center" wrapText="1"/>
    </xf>
    <xf numFmtId="0" fontId="14" fillId="6" borderId="3" xfId="0" applyFont="1" applyFill="1" applyBorder="1" applyAlignment="1">
      <alignment horizontal="center" vertical="center" wrapText="1"/>
    </xf>
    <xf numFmtId="167" fontId="66" fillId="2" borderId="3" xfId="0" applyNumberFormat="1" applyFont="1" applyFill="1" applyBorder="1" applyAlignment="1">
      <alignment horizontal="center" vertical="center" wrapText="1"/>
    </xf>
    <xf numFmtId="167" fontId="19" fillId="2" borderId="3" xfId="0" applyNumberFormat="1" applyFont="1" applyFill="1" applyBorder="1" applyAlignment="1">
      <alignment horizontal="center" vertical="center" wrapText="1"/>
    </xf>
    <xf numFmtId="0" fontId="19" fillId="2" borderId="3" xfId="0" applyFont="1" applyFill="1" applyBorder="1" applyAlignment="1">
      <alignment horizontal="center" vertical="center" wrapText="1"/>
    </xf>
    <xf numFmtId="0" fontId="7" fillId="4" borderId="3" xfId="0" applyFont="1" applyFill="1" applyBorder="1" applyAlignment="1">
      <alignment horizontal="left" vertical="center" wrapText="1"/>
    </xf>
    <xf numFmtId="0" fontId="68" fillId="4" borderId="3" xfId="0" applyFont="1" applyFill="1" applyBorder="1" applyAlignment="1">
      <alignment horizontal="center" vertical="center" wrapText="1"/>
    </xf>
    <xf numFmtId="0" fontId="7" fillId="7" borderId="3" xfId="0" applyFont="1" applyFill="1" applyBorder="1" applyAlignment="1">
      <alignment horizontal="left" vertical="center" wrapText="1"/>
    </xf>
    <xf numFmtId="0" fontId="68" fillId="7" borderId="3" xfId="0" applyFont="1" applyFill="1" applyBorder="1" applyAlignment="1">
      <alignment horizontal="center" vertical="center" wrapText="1"/>
    </xf>
    <xf numFmtId="0" fontId="41" fillId="7" borderId="3" xfId="0" applyFont="1" applyFill="1" applyBorder="1" applyAlignment="1">
      <alignment horizontal="left" vertical="center" wrapText="1"/>
    </xf>
    <xf numFmtId="0" fontId="6" fillId="24" borderId="3" xfId="0" applyFont="1" applyFill="1" applyBorder="1" applyAlignment="1">
      <alignment horizontal="left" vertical="center" wrapText="1"/>
    </xf>
    <xf numFmtId="0" fontId="7" fillId="24" borderId="3" xfId="0" applyFont="1" applyFill="1" applyBorder="1" applyAlignment="1">
      <alignment horizontal="left" vertical="center" wrapText="1"/>
    </xf>
    <xf numFmtId="0" fontId="6" fillId="24" borderId="3" xfId="0" applyFont="1" applyFill="1" applyBorder="1" applyAlignment="1">
      <alignment horizontal="center" vertical="center" wrapText="1"/>
    </xf>
    <xf numFmtId="0" fontId="69" fillId="24" borderId="3" xfId="0" applyFont="1" applyFill="1" applyBorder="1" applyAlignment="1">
      <alignment horizontal="left" vertical="center" wrapText="1"/>
    </xf>
    <xf numFmtId="0" fontId="6" fillId="25" borderId="3" xfId="0" applyFont="1" applyFill="1" applyBorder="1" applyAlignment="1">
      <alignment horizontal="left" vertical="center" wrapText="1"/>
    </xf>
    <xf numFmtId="0" fontId="70" fillId="25" borderId="3" xfId="0" applyFont="1" applyFill="1" applyBorder="1" applyAlignment="1">
      <alignment horizontal="left" vertical="center" wrapText="1"/>
    </xf>
    <xf numFmtId="0" fontId="6" fillId="25" borderId="3" xfId="0" applyFont="1" applyFill="1" applyBorder="1" applyAlignment="1">
      <alignment horizontal="center" vertical="center" wrapText="1"/>
    </xf>
    <xf numFmtId="0" fontId="19" fillId="15" borderId="3" xfId="0" applyFont="1" applyFill="1" applyBorder="1" applyAlignment="1">
      <alignment horizontal="left" vertical="center" wrapText="1"/>
    </xf>
    <xf numFmtId="0" fontId="19" fillId="15" borderId="3" xfId="0" applyFont="1" applyFill="1" applyBorder="1" applyAlignment="1">
      <alignment horizontal="center" vertical="center" wrapText="1"/>
    </xf>
    <xf numFmtId="0" fontId="14" fillId="9" borderId="2"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16" fillId="8"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21" fillId="5"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167" fontId="22" fillId="4" borderId="2" xfId="0" applyNumberFormat="1" applyFont="1" applyFill="1" applyBorder="1" applyAlignment="1">
      <alignment horizontal="center" vertical="center" wrapText="1"/>
    </xf>
    <xf numFmtId="167" fontId="22" fillId="8" borderId="2" xfId="0" applyNumberFormat="1" applyFont="1" applyFill="1" applyBorder="1" applyAlignment="1">
      <alignment horizontal="center" vertical="center" wrapText="1"/>
    </xf>
    <xf numFmtId="167" fontId="22" fillId="6" borderId="2" xfId="0" applyNumberFormat="1" applyFont="1" applyFill="1" applyBorder="1" applyAlignment="1">
      <alignment horizontal="center" vertical="center" wrapText="1"/>
    </xf>
    <xf numFmtId="167" fontId="22" fillId="14" borderId="2" xfId="0" applyNumberFormat="1"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8"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14" borderId="2" xfId="0" applyFont="1" applyFill="1" applyBorder="1" applyAlignment="1">
      <alignment horizontal="center" vertical="center" wrapText="1"/>
    </xf>
    <xf numFmtId="0" fontId="24" fillId="14" borderId="2" xfId="0" applyFont="1" applyFill="1" applyBorder="1" applyAlignment="1">
      <alignment horizontal="left" vertical="center" wrapText="1"/>
    </xf>
    <xf numFmtId="0" fontId="25" fillId="8" borderId="2" xfId="0" applyFont="1" applyFill="1" applyBorder="1" applyAlignment="1">
      <alignment horizontal="left" vertical="center" wrapText="1"/>
    </xf>
    <xf numFmtId="0" fontId="3" fillId="15" borderId="2" xfId="0" applyFont="1" applyFill="1" applyBorder="1" applyAlignment="1">
      <alignment horizontal="left" vertical="center" wrapText="1"/>
    </xf>
    <xf numFmtId="0" fontId="26" fillId="16" borderId="2" xfId="0" applyFont="1" applyFill="1" applyBorder="1" applyAlignment="1">
      <alignment horizontal="left" vertical="center" wrapText="1"/>
    </xf>
    <xf numFmtId="0" fontId="5" fillId="16" borderId="2" xfId="0" applyFont="1" applyFill="1" applyBorder="1" applyAlignment="1">
      <alignment horizontal="left" vertical="center" wrapText="1"/>
    </xf>
    <xf numFmtId="169" fontId="31" fillId="11" borderId="2" xfId="0" applyNumberFormat="1" applyFont="1" applyFill="1" applyBorder="1" applyAlignment="1">
      <alignment horizontal="center" vertical="center" wrapText="1"/>
    </xf>
    <xf numFmtId="0" fontId="3" fillId="17" borderId="2" xfId="0" applyFont="1" applyFill="1" applyBorder="1" applyAlignment="1">
      <alignment horizontal="left" vertical="center" wrapText="1"/>
    </xf>
    <xf numFmtId="0" fontId="4" fillId="17" borderId="2" xfId="0" applyFont="1" applyFill="1" applyBorder="1" applyAlignment="1">
      <alignment horizontal="center" vertical="center" wrapText="1"/>
    </xf>
    <xf numFmtId="0" fontId="0" fillId="5" borderId="2" xfId="0" applyFill="1" applyBorder="1"/>
    <xf numFmtId="0" fontId="3" fillId="2" borderId="2" xfId="0" applyFont="1" applyFill="1" applyBorder="1" applyAlignment="1">
      <alignment horizontal="center" vertical="center" wrapText="1"/>
    </xf>
    <xf numFmtId="0" fontId="0" fillId="0" borderId="0" xfId="0"/>
    <xf numFmtId="0" fontId="32" fillId="2" borderId="2" xfId="0" applyFont="1" applyFill="1" applyBorder="1" applyAlignment="1">
      <alignment horizontal="left" vertical="center" wrapText="1"/>
    </xf>
    <xf numFmtId="0" fontId="37" fillId="14" borderId="2" xfId="0" applyFont="1" applyFill="1" applyBorder="1" applyAlignment="1">
      <alignment horizontal="left" vertical="center" wrapText="1"/>
    </xf>
    <xf numFmtId="0" fontId="38" fillId="17" borderId="3" xfId="0" applyFont="1" applyFill="1" applyBorder="1" applyAlignment="1">
      <alignment horizontal="center" vertical="center" wrapText="1"/>
    </xf>
    <xf numFmtId="0" fontId="21" fillId="7" borderId="2"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4" fillId="19" borderId="3" xfId="0" applyFont="1" applyFill="1" applyBorder="1" applyAlignment="1">
      <alignment horizontal="center" vertical="center" wrapText="1"/>
    </xf>
    <xf numFmtId="167" fontId="46" fillId="4" borderId="3" xfId="0" applyNumberFormat="1" applyFont="1" applyFill="1" applyBorder="1" applyAlignment="1">
      <alignment horizontal="center" vertical="center" wrapText="1"/>
    </xf>
    <xf numFmtId="167" fontId="47" fillId="8" borderId="3" xfId="0" applyNumberFormat="1" applyFont="1" applyFill="1" applyBorder="1" applyAlignment="1">
      <alignment horizontal="center" vertical="center" wrapText="1"/>
    </xf>
    <xf numFmtId="167" fontId="48" fillId="14" borderId="3" xfId="0" applyNumberFormat="1" applyFont="1" applyFill="1" applyBorder="1" applyAlignment="1">
      <alignment horizontal="center" vertical="center" wrapText="1"/>
    </xf>
    <xf numFmtId="167" fontId="49" fillId="20" borderId="3" xfId="0" applyNumberFormat="1" applyFont="1" applyFill="1" applyBorder="1" applyAlignment="1">
      <alignment horizontal="center" vertical="center" wrapText="1"/>
    </xf>
    <xf numFmtId="0" fontId="30" fillId="4" borderId="3" xfId="0" applyFont="1" applyFill="1" applyBorder="1" applyAlignment="1">
      <alignment horizontal="center" vertical="center" wrapText="1"/>
    </xf>
    <xf numFmtId="0" fontId="30" fillId="8" borderId="3" xfId="0" applyFont="1" applyFill="1" applyBorder="1" applyAlignment="1">
      <alignment horizontal="center" vertical="center" wrapText="1"/>
    </xf>
    <xf numFmtId="0" fontId="30" fillId="14" borderId="3" xfId="0" applyFont="1" applyFill="1" applyBorder="1" applyAlignment="1">
      <alignment horizontal="center" vertical="center" wrapText="1"/>
    </xf>
    <xf numFmtId="0" fontId="30" fillId="20" borderId="3" xfId="0" applyFont="1" applyFill="1" applyBorder="1" applyAlignment="1">
      <alignment horizontal="center" vertical="center" wrapText="1"/>
    </xf>
    <xf numFmtId="0" fontId="0" fillId="0" borderId="4" xfId="0" applyBorder="1"/>
    <xf numFmtId="0" fontId="3" fillId="2" borderId="3" xfId="0" applyFont="1" applyFill="1" applyBorder="1" applyAlignment="1">
      <alignment horizontal="left" vertical="center" wrapText="1"/>
    </xf>
    <xf numFmtId="0" fontId="3" fillId="13" borderId="3" xfId="0" applyFont="1" applyFill="1" applyBorder="1" applyAlignment="1">
      <alignment horizontal="left" vertical="center" wrapText="1"/>
    </xf>
    <xf numFmtId="0" fontId="3" fillId="19" borderId="2" xfId="0" applyFont="1" applyFill="1" applyBorder="1" applyAlignment="1">
      <alignment horizontal="left" vertical="center" wrapText="1"/>
    </xf>
    <xf numFmtId="0" fontId="55" fillId="3" borderId="2"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5" borderId="3" xfId="0" applyFont="1" applyFill="1" applyBorder="1" applyAlignment="1">
      <alignment horizontal="left" vertical="center" wrapText="1"/>
    </xf>
    <xf numFmtId="0" fontId="3" fillId="19" borderId="3" xfId="0" applyFont="1" applyFill="1" applyBorder="1" applyAlignment="1">
      <alignment horizontal="left" vertical="center" wrapText="1"/>
    </xf>
    <xf numFmtId="0" fontId="4" fillId="19" borderId="3" xfId="0" applyFont="1" applyFill="1" applyBorder="1" applyAlignment="1">
      <alignment horizontal="left" vertical="center" wrapText="1"/>
    </xf>
    <xf numFmtId="0" fontId="55" fillId="9" borderId="2" xfId="0" applyFont="1" applyFill="1" applyBorder="1" applyAlignment="1">
      <alignment horizontal="left" vertical="center" wrapText="1"/>
    </xf>
    <xf numFmtId="0" fontId="3" fillId="12" borderId="3" xfId="0" applyFont="1" applyFill="1" applyBorder="1" applyAlignment="1">
      <alignment horizontal="left" vertical="center" wrapText="1"/>
    </xf>
    <xf numFmtId="0" fontId="4" fillId="12" borderId="3" xfId="0" applyFont="1" applyFill="1" applyBorder="1" applyAlignment="1">
      <alignment horizontal="left" vertical="center" wrapText="1"/>
    </xf>
    <xf numFmtId="0" fontId="4" fillId="13" borderId="3" xfId="0" applyFont="1" applyFill="1" applyBorder="1" applyAlignment="1">
      <alignment horizontal="left" vertical="center" wrapText="1"/>
    </xf>
    <xf numFmtId="0" fontId="55" fillId="14" borderId="2" xfId="0" applyFont="1" applyFill="1" applyBorder="1" applyAlignment="1">
      <alignment horizontal="left" vertical="center" wrapText="1"/>
    </xf>
    <xf numFmtId="0" fontId="14" fillId="8" borderId="3" xfId="0" applyFont="1" applyFill="1" applyBorder="1" applyAlignment="1">
      <alignment horizontal="left" vertical="center" wrapText="1"/>
    </xf>
    <xf numFmtId="0" fontId="14" fillId="9" borderId="3" xfId="0" applyFont="1" applyFill="1" applyBorder="1" applyAlignment="1">
      <alignment horizontal="left" vertical="center" wrapText="1"/>
    </xf>
    <xf numFmtId="0" fontId="3" fillId="10" borderId="3"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7" borderId="3" xfId="0" applyFont="1" applyFill="1" applyBorder="1" applyAlignment="1">
      <alignment horizontal="left" vertical="center" wrapText="1"/>
    </xf>
    <xf numFmtId="0" fontId="35" fillId="2" borderId="1" xfId="0" applyFont="1" applyFill="1" applyBorder="1" applyAlignment="1">
      <alignment horizontal="left" vertical="center" wrapText="1"/>
    </xf>
    <xf numFmtId="0" fontId="4" fillId="2" borderId="3" xfId="0" applyFont="1" applyFill="1" applyBorder="1" applyAlignment="1">
      <alignment horizontal="left" vertical="center" wrapText="1"/>
    </xf>
    <xf numFmtId="0" fontId="6" fillId="8" borderId="3" xfId="0" applyFont="1" applyFill="1" applyBorder="1" applyAlignment="1">
      <alignment horizontal="left" vertical="center" wrapText="1"/>
    </xf>
    <xf numFmtId="0" fontId="32" fillId="12" borderId="3" xfId="0" applyFont="1" applyFill="1" applyBorder="1" applyAlignment="1">
      <alignment horizontal="left" vertical="center" wrapText="1"/>
    </xf>
    <xf numFmtId="0" fontId="23" fillId="5" borderId="3" xfId="0" applyFont="1" applyFill="1" applyBorder="1" applyAlignment="1">
      <alignment horizontal="left" vertical="center" wrapText="1"/>
    </xf>
    <xf numFmtId="0" fontId="32" fillId="2" borderId="3" xfId="0" applyFont="1" applyFill="1" applyBorder="1" applyAlignment="1">
      <alignment horizontal="left" vertical="center" wrapText="1"/>
    </xf>
    <xf numFmtId="0" fontId="7" fillId="8" borderId="3" xfId="0" applyFont="1" applyFill="1" applyBorder="1" applyAlignment="1">
      <alignment horizontal="center" vertical="center" wrapText="1"/>
    </xf>
    <xf numFmtId="0" fontId="6" fillId="7" borderId="3" xfId="0" applyFont="1" applyFill="1" applyBorder="1"/>
    <xf numFmtId="165" fontId="6" fillId="5" borderId="3" xfId="0" applyNumberFormat="1" applyFont="1" applyFill="1" applyBorder="1"/>
    <xf numFmtId="168" fontId="6" fillId="7" borderId="3" xfId="0" applyNumberFormat="1" applyFont="1" applyFill="1" applyBorder="1"/>
    <xf numFmtId="0" fontId="6" fillId="5" borderId="3" xfId="0" applyFont="1" applyFill="1" applyBorder="1"/>
    <xf numFmtId="166" fontId="6" fillId="7" borderId="3" xfId="0" applyNumberFormat="1" applyFont="1" applyFill="1" applyBorder="1"/>
    <xf numFmtId="0" fontId="7" fillId="8" borderId="2" xfId="0" applyFont="1" applyFill="1" applyBorder="1" applyAlignment="1">
      <alignment horizontal="left" vertical="center" wrapText="1"/>
    </xf>
    <xf numFmtId="3" fontId="55" fillId="3" borderId="3" xfId="0" applyNumberFormat="1" applyFont="1" applyFill="1" applyBorder="1" applyAlignment="1">
      <alignment horizontal="left" vertical="center" wrapText="1"/>
    </xf>
    <xf numFmtId="3" fontId="6" fillId="7" borderId="3" xfId="0" applyNumberFormat="1" applyFont="1" applyFill="1" applyBorder="1"/>
    <xf numFmtId="0" fontId="67" fillId="24" borderId="3" xfId="0" applyFont="1" applyFill="1" applyBorder="1" applyAlignment="1">
      <alignment horizontal="left" vertical="center" wrapText="1"/>
    </xf>
    <xf numFmtId="0" fontId="3" fillId="23" borderId="3" xfId="0" applyFont="1" applyFill="1" applyBorder="1" applyAlignment="1">
      <alignment horizontal="left" vertical="center" wrapText="1"/>
    </xf>
    <xf numFmtId="0" fontId="39" fillId="4" borderId="3" xfId="0" applyFont="1" applyFill="1" applyBorder="1" applyAlignment="1">
      <alignment horizontal="left" vertical="center" wrapText="1"/>
    </xf>
    <xf numFmtId="0" fontId="3" fillId="15" borderId="3" xfId="0" applyFont="1" applyFill="1" applyBorder="1" applyAlignment="1">
      <alignment horizontal="left" vertical="center" wrapText="1"/>
    </xf>
    <xf numFmtId="0" fontId="6" fillId="5" borderId="2" xfId="0" applyFont="1" applyFill="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2EEEB5EA-AB28-4FF6-8A1A-F73AC105BC3F}"/>
  </tableStyles>
  <colors>
    <indexedColors>
      <rgbColor rgb="FF000000"/>
      <rgbColor rgb="FFFFFFFF"/>
      <rgbColor rgb="FFC00000"/>
      <rgbColor rgb="FF00FF00"/>
      <rgbColor rgb="FF0000FF"/>
      <rgbColor rgb="FFFFFF00"/>
      <rgbColor rgb="FFFF00FF"/>
      <rgbColor rgb="FF00FFFF"/>
      <rgbColor rgb="FF8B0000"/>
      <rgbColor rgb="FF375623"/>
      <rgbColor rgb="FF000080"/>
      <rgbColor rgb="FF595959"/>
      <rgbColor rgb="FF800080"/>
      <rgbColor rgb="FF0D5257"/>
      <rgbColor rgb="FFBFBFBF"/>
      <rgbColor rgb="FF888888"/>
      <rgbColor rgb="FFEAF5EA"/>
      <rgbColor rgb="FFA32D2D"/>
      <rgbColor rgb="FFFFFDE7"/>
      <rgbColor rgb="FFD0EDF0"/>
      <rgbColor rgb="FF444444"/>
      <rgbColor rgb="FFF2F2F2"/>
      <rgbColor rgb="FF185FA5"/>
      <rgbColor rgb="FFD6E4F7"/>
      <rgbColor rgb="FF000080"/>
      <rgbColor rgb="FFFF00FF"/>
      <rgbColor rgb="FFEAF3DE"/>
      <rgbColor rgb="FF00FFFF"/>
      <rgbColor rgb="FF800080"/>
      <rgbColor rgb="FF800000"/>
      <rgbColor rgb="FF008080"/>
      <rgbColor rgb="FF0000FF"/>
      <rgbColor rgb="FF00CCFF"/>
      <rgbColor rgb="FFE1F5EE"/>
      <rgbColor rgb="FFE2EFDA"/>
      <rgbColor rgb="FFFFF2CC"/>
      <rgbColor rgb="FFEDE7F6"/>
      <rgbColor rgb="FFFFE0E0"/>
      <rgbColor rgb="FFFCE4D6"/>
      <rgbColor rgb="FFFFD7D7"/>
      <rgbColor rgb="FF2E75B6"/>
      <rgbColor rgb="FF33CCCC"/>
      <rgbColor rgb="FF99CC00"/>
      <rgbColor rgb="FFFCEBEB"/>
      <rgbColor rgb="FFFF9900"/>
      <rgbColor rgb="FFFF6600"/>
      <rgbColor rgb="FF666666"/>
      <rgbColor rgb="FFAAAAAA"/>
      <rgbColor rgb="FF1F3864"/>
      <rgbColor rgb="FF555555"/>
      <rgbColor rgb="FF04342C"/>
      <rgbColor rgb="FF1A1A1A"/>
      <rgbColor rgb="FF843C0C"/>
      <rgbColor rgb="FF7030A0"/>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8</xdr:col>
      <xdr:colOff>580320</xdr:colOff>
      <xdr:row>45</xdr:row>
      <xdr:rowOff>93240</xdr:rowOff>
    </xdr:to>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tretch/>
      </xdr:blipFill>
      <xdr:spPr>
        <a:xfrm>
          <a:off x="0" y="1362240"/>
          <a:ext cx="10761120" cy="7332120"/>
        </a:xfrm>
        <a:prstGeom prst="rect">
          <a:avLst/>
        </a:prstGeom>
        <a:ln w="0">
          <a:noFill/>
        </a:ln>
      </xdr:spPr>
    </xdr:pic>
    <xdr:clientData/>
  </xdr:twoCellAnchor>
  <xdr:twoCellAnchor editAs="oneCell">
    <xdr:from>
      <xdr:col>0</xdr:col>
      <xdr:colOff>0</xdr:colOff>
      <xdr:row>72</xdr:row>
      <xdr:rowOff>0</xdr:rowOff>
    </xdr:from>
    <xdr:to>
      <xdr:col>8</xdr:col>
      <xdr:colOff>580320</xdr:colOff>
      <xdr:row>112</xdr:row>
      <xdr:rowOff>93240</xdr:rowOff>
    </xdr:to>
    <xdr:pic>
      <xdr:nvPicPr>
        <xdr:cNvPr id="3" name="Image 2" descr="Picture">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a:stretch/>
      </xdr:blipFill>
      <xdr:spPr>
        <a:xfrm>
          <a:off x="0" y="14944680"/>
          <a:ext cx="10761120" cy="73321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showGridLines="0" zoomScaleNormal="100" workbookViewId="0">
      <selection activeCell="A17" sqref="A17:D17"/>
    </sheetView>
  </sheetViews>
  <sheetFormatPr defaultColWidth="8.6640625" defaultRowHeight="14.4" x14ac:dyDescent="0.3"/>
  <cols>
    <col min="1" max="1" width="6" customWidth="1"/>
    <col min="2" max="2" width="26" customWidth="1"/>
    <col min="3" max="3" width="72" customWidth="1"/>
    <col min="4" max="4" width="20" customWidth="1"/>
  </cols>
  <sheetData>
    <row r="1" spans="1:4" ht="31.5" customHeight="1" x14ac:dyDescent="0.3">
      <c r="A1" s="14" t="s">
        <v>0</v>
      </c>
      <c r="B1" s="14"/>
      <c r="C1" s="14"/>
      <c r="D1" s="14"/>
    </row>
    <row r="2" spans="1:4" ht="15.75" customHeight="1" x14ac:dyDescent="0.3">
      <c r="A2" s="13" t="s">
        <v>1</v>
      </c>
      <c r="B2" s="13"/>
      <c r="C2" s="13"/>
      <c r="D2" s="13"/>
    </row>
    <row r="4" spans="1:4" ht="19.5" customHeight="1" x14ac:dyDescent="0.3">
      <c r="A4" s="12" t="s">
        <v>2</v>
      </c>
      <c r="B4" s="12"/>
      <c r="C4" s="12"/>
      <c r="D4" s="12"/>
    </row>
    <row r="5" spans="1:4" ht="27.75" customHeight="1" x14ac:dyDescent="0.3">
      <c r="A5" s="16" t="s">
        <v>3</v>
      </c>
      <c r="B5" s="16" t="s">
        <v>4</v>
      </c>
      <c r="C5" s="16" t="s">
        <v>5</v>
      </c>
      <c r="D5" s="16" t="s">
        <v>6</v>
      </c>
    </row>
    <row r="6" spans="1:4" ht="90" customHeight="1" x14ac:dyDescent="0.3">
      <c r="A6" s="17" t="s">
        <v>7</v>
      </c>
      <c r="B6" s="18" t="s">
        <v>8</v>
      </c>
      <c r="C6" s="19" t="s">
        <v>9</v>
      </c>
      <c r="D6" s="20" t="s">
        <v>10</v>
      </c>
    </row>
    <row r="7" spans="1:4" ht="90" customHeight="1" x14ac:dyDescent="0.3">
      <c r="A7" s="17" t="s">
        <v>11</v>
      </c>
      <c r="B7" s="18" t="s">
        <v>12</v>
      </c>
      <c r="C7" s="21" t="s">
        <v>13</v>
      </c>
      <c r="D7" s="22" t="s">
        <v>14</v>
      </c>
    </row>
    <row r="8" spans="1:4" ht="90" customHeight="1" x14ac:dyDescent="0.3">
      <c r="A8" s="17" t="s">
        <v>15</v>
      </c>
      <c r="B8" s="18" t="s">
        <v>16</v>
      </c>
      <c r="C8" s="19" t="s">
        <v>17</v>
      </c>
      <c r="D8" s="23" t="s">
        <v>18</v>
      </c>
    </row>
    <row r="9" spans="1:4" ht="90" customHeight="1" x14ac:dyDescent="0.3">
      <c r="A9" s="17" t="s">
        <v>19</v>
      </c>
      <c r="B9" s="18" t="s">
        <v>20</v>
      </c>
      <c r="C9" s="21" t="s">
        <v>21</v>
      </c>
      <c r="D9" s="23" t="s">
        <v>22</v>
      </c>
    </row>
    <row r="10" spans="1:4" ht="90" customHeight="1" x14ac:dyDescent="0.3">
      <c r="A10" s="17" t="s">
        <v>23</v>
      </c>
      <c r="B10" s="18" t="s">
        <v>24</v>
      </c>
      <c r="C10" s="19" t="s">
        <v>25</v>
      </c>
      <c r="D10" s="20" t="s">
        <v>26</v>
      </c>
    </row>
    <row r="11" spans="1:4" ht="90" customHeight="1" x14ac:dyDescent="0.3">
      <c r="A11" s="17" t="s">
        <v>27</v>
      </c>
      <c r="B11" s="18" t="s">
        <v>28</v>
      </c>
      <c r="C11" s="21" t="s">
        <v>29</v>
      </c>
      <c r="D11" s="22" t="s">
        <v>30</v>
      </c>
    </row>
    <row r="12" spans="1:4" ht="90" customHeight="1" x14ac:dyDescent="0.3">
      <c r="A12" s="17" t="s">
        <v>31</v>
      </c>
      <c r="B12" s="18" t="s">
        <v>32</v>
      </c>
      <c r="C12" s="19" t="s">
        <v>33</v>
      </c>
      <c r="D12" s="22" t="s">
        <v>34</v>
      </c>
    </row>
    <row r="13" spans="1:4" ht="63.75" customHeight="1" x14ac:dyDescent="0.3">
      <c r="A13" s="17" t="s">
        <v>35</v>
      </c>
      <c r="B13" s="22" t="s">
        <v>36</v>
      </c>
      <c r="C13" s="24" t="s">
        <v>37</v>
      </c>
      <c r="D13" s="25" t="s">
        <v>38</v>
      </c>
    </row>
    <row r="14" spans="1:4" ht="60" customHeight="1" x14ac:dyDescent="0.3">
      <c r="A14" s="17" t="s">
        <v>39</v>
      </c>
      <c r="B14" s="22" t="s">
        <v>40</v>
      </c>
      <c r="C14" s="26" t="s">
        <v>41</v>
      </c>
      <c r="D14" s="22" t="s">
        <v>42</v>
      </c>
    </row>
    <row r="15" spans="1:4" ht="24" customHeight="1" x14ac:dyDescent="0.3">
      <c r="A15" s="11" t="s">
        <v>43</v>
      </c>
      <c r="B15" s="11"/>
      <c r="C15" s="11"/>
      <c r="D15" s="11"/>
    </row>
    <row r="16" spans="1:4" ht="90" customHeight="1" x14ac:dyDescent="0.3">
      <c r="A16" s="10" t="s">
        <v>44</v>
      </c>
      <c r="B16" s="10"/>
      <c r="C16" s="10"/>
      <c r="D16" s="10"/>
    </row>
    <row r="17" spans="1:4" ht="109.5" customHeight="1" x14ac:dyDescent="0.3">
      <c r="A17" s="9" t="s">
        <v>45</v>
      </c>
      <c r="B17" s="9"/>
      <c r="C17" s="9"/>
      <c r="D17" s="9"/>
    </row>
    <row r="18" spans="1:4" ht="21.75" customHeight="1" x14ac:dyDescent="0.3">
      <c r="A18" s="8" t="s">
        <v>46</v>
      </c>
      <c r="B18" s="8"/>
      <c r="C18" s="8"/>
      <c r="D18" s="8"/>
    </row>
    <row r="19" spans="1:4" ht="409.5" customHeight="1" x14ac:dyDescent="0.3"/>
    <row r="20" spans="1:4" ht="409.5" customHeight="1" x14ac:dyDescent="0.3">
      <c r="A20" s="27" t="s">
        <v>47</v>
      </c>
    </row>
  </sheetData>
  <mergeCells count="7">
    <mergeCell ref="A17:D17"/>
    <mergeCell ref="A18:D18"/>
    <mergeCell ref="A1:D1"/>
    <mergeCell ref="A2:D2"/>
    <mergeCell ref="A4:D4"/>
    <mergeCell ref="A15:D15"/>
    <mergeCell ref="A16:D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
  <sheetViews>
    <sheetView showGridLines="0" topLeftCell="A12" zoomScaleNormal="100" workbookViewId="0">
      <selection activeCell="L35" sqref="L35"/>
    </sheetView>
  </sheetViews>
  <sheetFormatPr defaultColWidth="8.6640625" defaultRowHeight="14.4" x14ac:dyDescent="0.3"/>
  <cols>
    <col min="1" max="1" width="40" customWidth="1"/>
    <col min="2" max="2" width="9" customWidth="1"/>
    <col min="3" max="3" width="16" customWidth="1"/>
    <col min="4" max="4" width="10" customWidth="1"/>
    <col min="5" max="5" width="50" customWidth="1"/>
    <col min="6" max="8" width="1" customWidth="1"/>
  </cols>
  <sheetData>
    <row r="1" spans="1:8" ht="27.75" customHeight="1" x14ac:dyDescent="0.3">
      <c r="A1" s="7" t="s">
        <v>48</v>
      </c>
      <c r="B1" s="7"/>
      <c r="C1" s="7"/>
      <c r="D1" s="7"/>
      <c r="E1" s="7"/>
      <c r="F1" s="7"/>
      <c r="G1" s="7"/>
      <c r="H1" s="7"/>
    </row>
    <row r="2" spans="1:8" ht="12.75" customHeight="1" x14ac:dyDescent="0.3">
      <c r="A2" s="6" t="s">
        <v>49</v>
      </c>
      <c r="B2" s="6"/>
      <c r="C2" s="6"/>
      <c r="D2" s="6"/>
      <c r="E2" s="6"/>
      <c r="F2" s="6"/>
      <c r="G2" s="6"/>
      <c r="H2" s="6"/>
    </row>
    <row r="4" spans="1:8" ht="18" customHeight="1" x14ac:dyDescent="0.3">
      <c r="A4" s="5" t="s">
        <v>50</v>
      </c>
      <c r="B4" s="5"/>
      <c r="C4" s="5"/>
      <c r="D4" s="5"/>
      <c r="E4" s="5"/>
      <c r="F4" s="5"/>
      <c r="G4" s="5"/>
      <c r="H4" s="5"/>
    </row>
    <row r="5" spans="1:8" ht="21.75" customHeight="1" x14ac:dyDescent="0.3">
      <c r="A5" s="30" t="s">
        <v>51</v>
      </c>
      <c r="B5" s="30" t="s">
        <v>52</v>
      </c>
      <c r="C5" s="30" t="s">
        <v>53</v>
      </c>
      <c r="D5" s="30" t="s">
        <v>54</v>
      </c>
      <c r="E5" s="30" t="s">
        <v>55</v>
      </c>
      <c r="F5" s="30"/>
      <c r="G5" s="30"/>
      <c r="H5" s="30"/>
    </row>
    <row r="6" spans="1:8" ht="15.75" customHeight="1" x14ac:dyDescent="0.3">
      <c r="A6" s="18" t="s">
        <v>56</v>
      </c>
      <c r="B6" s="31" t="s">
        <v>27</v>
      </c>
      <c r="C6" s="32">
        <v>7775.51</v>
      </c>
      <c r="D6" s="33" t="s">
        <v>57</v>
      </c>
      <c r="E6" s="4" t="s">
        <v>58</v>
      </c>
      <c r="F6" s="4"/>
      <c r="G6" s="4"/>
      <c r="H6" s="4"/>
    </row>
    <row r="7" spans="1:8" ht="15.75" customHeight="1" x14ac:dyDescent="0.3">
      <c r="A7" s="18" t="s">
        <v>59</v>
      </c>
      <c r="B7" s="34" t="s">
        <v>31</v>
      </c>
      <c r="C7" s="32">
        <v>7401.73</v>
      </c>
      <c r="D7" s="35" t="s">
        <v>57</v>
      </c>
      <c r="E7" s="3" t="s">
        <v>58</v>
      </c>
      <c r="F7" s="3"/>
      <c r="G7" s="3"/>
      <c r="H7" s="3"/>
    </row>
    <row r="8" spans="1:8" ht="15.75" customHeight="1" x14ac:dyDescent="0.3">
      <c r="A8" s="18" t="s">
        <v>60</v>
      </c>
      <c r="B8" s="31" t="s">
        <v>35</v>
      </c>
      <c r="C8" s="32">
        <v>165555.92000000001</v>
      </c>
      <c r="D8" s="33" t="s">
        <v>57</v>
      </c>
      <c r="E8" s="4" t="s">
        <v>58</v>
      </c>
      <c r="F8" s="4"/>
      <c r="G8" s="4"/>
      <c r="H8" s="4"/>
    </row>
    <row r="9" spans="1:8" ht="15.75" customHeight="1" x14ac:dyDescent="0.3">
      <c r="A9" s="18" t="s">
        <v>61</v>
      </c>
      <c r="B9" s="34" t="s">
        <v>39</v>
      </c>
      <c r="C9" s="32">
        <v>3195.69</v>
      </c>
      <c r="D9" s="35" t="s">
        <v>57</v>
      </c>
      <c r="E9" s="3" t="s">
        <v>58</v>
      </c>
      <c r="F9" s="3"/>
      <c r="G9" s="3"/>
      <c r="H9" s="3"/>
    </row>
    <row r="10" spans="1:8" ht="15.75" customHeight="1" x14ac:dyDescent="0.3">
      <c r="A10" s="18" t="s">
        <v>62</v>
      </c>
      <c r="B10" s="31" t="s">
        <v>63</v>
      </c>
      <c r="C10" s="32">
        <v>882775.79</v>
      </c>
      <c r="D10" s="33" t="s">
        <v>57</v>
      </c>
      <c r="E10" s="4" t="s">
        <v>58</v>
      </c>
      <c r="F10" s="4"/>
      <c r="G10" s="4"/>
      <c r="H10" s="4"/>
    </row>
    <row r="11" spans="1:8" ht="15.75" customHeight="1" x14ac:dyDescent="0.3">
      <c r="A11" s="18" t="s">
        <v>64</v>
      </c>
      <c r="B11" s="34" t="s">
        <v>65</v>
      </c>
      <c r="C11" s="36">
        <v>1.0740000000000001</v>
      </c>
      <c r="D11" s="35" t="s">
        <v>66</v>
      </c>
      <c r="E11" s="3" t="s">
        <v>67</v>
      </c>
      <c r="F11" s="3"/>
      <c r="G11" s="3"/>
      <c r="H11" s="3"/>
    </row>
    <row r="12" spans="1:8" ht="15.75" customHeight="1" x14ac:dyDescent="0.3">
      <c r="A12" s="18" t="s">
        <v>68</v>
      </c>
      <c r="B12" s="31" t="s">
        <v>69</v>
      </c>
      <c r="C12" s="36">
        <v>1024</v>
      </c>
      <c r="D12" s="33" t="s">
        <v>70</v>
      </c>
      <c r="E12" s="4" t="s">
        <v>71</v>
      </c>
      <c r="F12" s="4"/>
      <c r="G12" s="4"/>
      <c r="H12" s="4"/>
    </row>
    <row r="13" spans="1:8" ht="15.75" customHeight="1" x14ac:dyDescent="0.3">
      <c r="A13" s="22" t="s">
        <v>72</v>
      </c>
      <c r="B13" s="34" t="s">
        <v>73</v>
      </c>
      <c r="C13" s="37">
        <f>C6+C7+C8+C9+C10</f>
        <v>1066704.6400000001</v>
      </c>
      <c r="D13" s="35" t="s">
        <v>57</v>
      </c>
      <c r="E13" s="3" t="s">
        <v>74</v>
      </c>
      <c r="F13" s="3"/>
      <c r="G13" s="3"/>
      <c r="H13" s="3"/>
    </row>
    <row r="14" spans="1:8" ht="15.75" customHeight="1" x14ac:dyDescent="0.3">
      <c r="A14" s="22" t="s">
        <v>75</v>
      </c>
      <c r="B14" s="38" t="s">
        <v>76</v>
      </c>
      <c r="C14" s="39">
        <f>C13/C12</f>
        <v>1041.7037500000001</v>
      </c>
      <c r="D14" s="40" t="s">
        <v>77</v>
      </c>
      <c r="E14" s="2" t="s">
        <v>78</v>
      </c>
      <c r="F14" s="2"/>
      <c r="G14" s="2"/>
      <c r="H14" s="2"/>
    </row>
    <row r="15" spans="1:8" ht="15.75" customHeight="1" x14ac:dyDescent="0.3">
      <c r="A15" s="22" t="s">
        <v>79</v>
      </c>
      <c r="B15" s="34" t="s">
        <v>80</v>
      </c>
      <c r="C15" s="37">
        <f>C13*C11</f>
        <v>1145640.7833600002</v>
      </c>
      <c r="D15" s="35" t="s">
        <v>81</v>
      </c>
      <c r="E15" s="3" t="s">
        <v>82</v>
      </c>
      <c r="F15" s="3"/>
      <c r="G15" s="3"/>
      <c r="H15" s="3"/>
    </row>
    <row r="16" spans="1:8" ht="15.75" customHeight="1" x14ac:dyDescent="0.3">
      <c r="A16" s="22" t="s">
        <v>83</v>
      </c>
      <c r="B16" s="38" t="s">
        <v>84</v>
      </c>
      <c r="C16" s="39">
        <f>221472.95+72998.02</f>
        <v>294470.97000000003</v>
      </c>
      <c r="D16" s="40" t="s">
        <v>57</v>
      </c>
      <c r="E16" s="2" t="s">
        <v>85</v>
      </c>
      <c r="F16" s="2"/>
      <c r="G16" s="2"/>
      <c r="H16" s="2"/>
    </row>
    <row r="17" spans="1:8" ht="15.75" customHeight="1" x14ac:dyDescent="0.3">
      <c r="A17" s="22" t="s">
        <v>86</v>
      </c>
      <c r="B17" s="34" t="s">
        <v>87</v>
      </c>
      <c r="C17" s="37">
        <f>374040.18+349749.29+48444.2</f>
        <v>772233.66999999993</v>
      </c>
      <c r="D17" s="35" t="s">
        <v>57</v>
      </c>
      <c r="E17" s="3" t="s">
        <v>88</v>
      </c>
      <c r="F17" s="3"/>
      <c r="G17" s="3"/>
      <c r="H17" s="3"/>
    </row>
    <row r="18" spans="1:8" ht="15.75" customHeight="1" x14ac:dyDescent="0.3">
      <c r="A18" s="22" t="s">
        <v>89</v>
      </c>
      <c r="B18" s="38" t="s">
        <v>90</v>
      </c>
      <c r="C18" s="39">
        <f>C16*C11</f>
        <v>316261.82178000006</v>
      </c>
      <c r="D18" s="40" t="s">
        <v>81</v>
      </c>
      <c r="E18" s="2" t="s">
        <v>91</v>
      </c>
      <c r="F18" s="2"/>
      <c r="G18" s="2"/>
      <c r="H18" s="2"/>
    </row>
    <row r="19" spans="1:8" ht="15.75" customHeight="1" x14ac:dyDescent="0.3">
      <c r="A19" s="22" t="s">
        <v>92</v>
      </c>
      <c r="B19" s="34" t="s">
        <v>93</v>
      </c>
      <c r="C19" s="37">
        <f>C17*C11</f>
        <v>829378.96158</v>
      </c>
      <c r="D19" s="35" t="s">
        <v>81</v>
      </c>
      <c r="E19" s="3" t="s">
        <v>94</v>
      </c>
      <c r="F19" s="3"/>
      <c r="G19" s="3"/>
      <c r="H19" s="3"/>
    </row>
    <row r="21" spans="1:8" ht="18" customHeight="1" x14ac:dyDescent="0.3">
      <c r="A21" s="1" t="s">
        <v>95</v>
      </c>
      <c r="B21" s="1"/>
      <c r="C21" s="1"/>
      <c r="D21" s="1"/>
      <c r="E21" s="1"/>
      <c r="F21" s="1"/>
      <c r="G21" s="1"/>
      <c r="H21" s="1"/>
    </row>
    <row r="22" spans="1:8" ht="21.75" customHeight="1" x14ac:dyDescent="0.3">
      <c r="A22" s="42" t="s">
        <v>51</v>
      </c>
      <c r="B22" s="42" t="s">
        <v>52</v>
      </c>
      <c r="C22" s="42" t="s">
        <v>53</v>
      </c>
      <c r="D22" s="42" t="s">
        <v>54</v>
      </c>
      <c r="E22" s="42" t="s">
        <v>55</v>
      </c>
      <c r="F22" s="42"/>
      <c r="G22" s="42"/>
      <c r="H22" s="42"/>
    </row>
    <row r="23" spans="1:8" ht="15.75" customHeight="1" x14ac:dyDescent="0.3">
      <c r="A23" s="23" t="s">
        <v>96</v>
      </c>
      <c r="B23" s="34" t="s">
        <v>97</v>
      </c>
      <c r="C23" s="43">
        <v>0.02</v>
      </c>
      <c r="D23" s="35" t="s">
        <v>98</v>
      </c>
      <c r="E23" s="3" t="s">
        <v>99</v>
      </c>
      <c r="F23" s="3"/>
      <c r="G23" s="3"/>
      <c r="H23" s="3"/>
    </row>
    <row r="24" spans="1:8" ht="15.75" customHeight="1" x14ac:dyDescent="0.3">
      <c r="A24" s="23" t="s">
        <v>100</v>
      </c>
      <c r="B24" s="44" t="s">
        <v>101</v>
      </c>
      <c r="C24" s="43">
        <v>1.4999999999999999E-2</v>
      </c>
      <c r="D24" s="45" t="s">
        <v>98</v>
      </c>
      <c r="E24" s="360" t="s">
        <v>102</v>
      </c>
      <c r="F24" s="360"/>
      <c r="G24" s="360"/>
      <c r="H24" s="360"/>
    </row>
    <row r="25" spans="1:8" ht="15.75" customHeight="1" x14ac:dyDescent="0.3">
      <c r="A25" s="23" t="s">
        <v>103</v>
      </c>
      <c r="B25" s="34" t="s">
        <v>104</v>
      </c>
      <c r="C25" s="43">
        <v>0.01</v>
      </c>
      <c r="D25" s="35" t="s">
        <v>98</v>
      </c>
      <c r="E25" s="3" t="s">
        <v>105</v>
      </c>
      <c r="F25" s="3"/>
      <c r="G25" s="3"/>
      <c r="H25" s="3"/>
    </row>
    <row r="26" spans="1:8" ht="15.75" customHeight="1" x14ac:dyDescent="0.3">
      <c r="A26" s="23" t="s">
        <v>106</v>
      </c>
      <c r="B26" s="44" t="s">
        <v>107</v>
      </c>
      <c r="C26" s="43">
        <v>2E-3</v>
      </c>
      <c r="D26" s="45" t="s">
        <v>98</v>
      </c>
      <c r="E26" s="360" t="s">
        <v>108</v>
      </c>
      <c r="F26" s="360"/>
      <c r="G26" s="360"/>
      <c r="H26" s="360"/>
    </row>
    <row r="27" spans="1:8" ht="15.75" customHeight="1" x14ac:dyDescent="0.3">
      <c r="A27" s="23" t="s">
        <v>109</v>
      </c>
      <c r="B27" s="44" t="s">
        <v>110</v>
      </c>
      <c r="C27" s="43">
        <v>0.01</v>
      </c>
      <c r="D27" s="45" t="s">
        <v>111</v>
      </c>
      <c r="E27" s="360" t="s">
        <v>112</v>
      </c>
      <c r="F27" s="360"/>
      <c r="G27" s="360"/>
      <c r="H27" s="360"/>
    </row>
    <row r="28" spans="1:8" ht="15.75" customHeight="1" x14ac:dyDescent="0.3">
      <c r="A28" s="23" t="s">
        <v>113</v>
      </c>
      <c r="B28" s="34" t="s">
        <v>114</v>
      </c>
      <c r="C28" s="43">
        <v>0.03</v>
      </c>
      <c r="D28" s="35" t="s">
        <v>111</v>
      </c>
      <c r="E28" s="3" t="s">
        <v>115</v>
      </c>
      <c r="F28" s="3"/>
      <c r="G28" s="3"/>
      <c r="H28" s="3"/>
    </row>
    <row r="29" spans="1:8" ht="15.75" customHeight="1" x14ac:dyDescent="0.3">
      <c r="A29" s="23" t="s">
        <v>116</v>
      </c>
      <c r="B29" s="44" t="s">
        <v>117</v>
      </c>
      <c r="C29" s="43">
        <v>2.1999999999999999E-2</v>
      </c>
      <c r="D29" s="45" t="s">
        <v>111</v>
      </c>
      <c r="E29" s="360" t="s">
        <v>118</v>
      </c>
      <c r="F29" s="360"/>
      <c r="G29" s="360"/>
      <c r="H29" s="360"/>
    </row>
    <row r="30" spans="1:8" ht="15.75" customHeight="1" x14ac:dyDescent="0.3">
      <c r="A30" s="23" t="s">
        <v>119</v>
      </c>
      <c r="B30" s="34" t="s">
        <v>120</v>
      </c>
      <c r="C30" s="43">
        <v>8.6999999999999994E-2</v>
      </c>
      <c r="D30" s="35" t="s">
        <v>111</v>
      </c>
      <c r="E30" s="3" t="s">
        <v>121</v>
      </c>
      <c r="F30" s="3"/>
      <c r="G30" s="3"/>
      <c r="H30" s="3"/>
    </row>
    <row r="31" spans="1:8" ht="15.75" customHeight="1" x14ac:dyDescent="0.3">
      <c r="A31" s="23" t="s">
        <v>122</v>
      </c>
      <c r="B31" s="44" t="s">
        <v>123</v>
      </c>
      <c r="C31" s="43">
        <v>8.3000000000000004E-2</v>
      </c>
      <c r="D31" s="45" t="s">
        <v>111</v>
      </c>
      <c r="E31" s="360" t="s">
        <v>124</v>
      </c>
      <c r="F31" s="360"/>
      <c r="G31" s="360"/>
      <c r="H31" s="360"/>
    </row>
    <row r="32" spans="1:8" ht="15.75" customHeight="1" x14ac:dyDescent="0.3">
      <c r="A32" s="23" t="s">
        <v>125</v>
      </c>
      <c r="B32" s="34" t="s">
        <v>126</v>
      </c>
      <c r="C32" s="43">
        <v>7.0000000000000007E-2</v>
      </c>
      <c r="D32" s="35" t="s">
        <v>111</v>
      </c>
      <c r="E32" s="3" t="s">
        <v>127</v>
      </c>
      <c r="F32" s="3"/>
      <c r="G32" s="3"/>
      <c r="H32" s="3"/>
    </row>
    <row r="33" spans="1:8" ht="15.75" customHeight="1" x14ac:dyDescent="0.3">
      <c r="A33" s="23" t="s">
        <v>128</v>
      </c>
      <c r="B33" s="44" t="s">
        <v>129</v>
      </c>
      <c r="C33" s="43">
        <v>0.05</v>
      </c>
      <c r="D33" s="45" t="s">
        <v>111</v>
      </c>
      <c r="E33" s="360" t="s">
        <v>130</v>
      </c>
      <c r="F33" s="360"/>
      <c r="G33" s="360"/>
      <c r="H33" s="360"/>
    </row>
    <row r="35" spans="1:8" ht="18" customHeight="1" x14ac:dyDescent="0.3">
      <c r="A35" s="361" t="s">
        <v>131</v>
      </c>
      <c r="B35" s="361"/>
      <c r="C35" s="361"/>
      <c r="D35" s="361"/>
      <c r="E35" s="361"/>
      <c r="F35" s="361"/>
      <c r="G35" s="361"/>
      <c r="H35" s="361"/>
    </row>
    <row r="36" spans="1:8" ht="21.75" customHeight="1" x14ac:dyDescent="0.3">
      <c r="A36" s="47" t="s">
        <v>51</v>
      </c>
      <c r="B36" s="47" t="s">
        <v>52</v>
      </c>
      <c r="C36" s="47" t="s">
        <v>53</v>
      </c>
      <c r="D36" s="47" t="s">
        <v>54</v>
      </c>
      <c r="E36" s="47" t="s">
        <v>55</v>
      </c>
      <c r="F36" s="47"/>
      <c r="G36" s="47"/>
      <c r="H36" s="47"/>
    </row>
    <row r="37" spans="1:8" ht="15.75" customHeight="1" x14ac:dyDescent="0.3">
      <c r="A37" s="22" t="s">
        <v>132</v>
      </c>
      <c r="B37" s="38" t="s">
        <v>133</v>
      </c>
      <c r="C37" s="43">
        <v>2.3E-2</v>
      </c>
      <c r="D37" s="40" t="s">
        <v>98</v>
      </c>
      <c r="E37" s="2" t="s">
        <v>134</v>
      </c>
      <c r="F37" s="2"/>
      <c r="G37" s="2"/>
      <c r="H37" s="2"/>
    </row>
    <row r="38" spans="1:8" ht="15.75" customHeight="1" x14ac:dyDescent="0.3">
      <c r="A38" s="22" t="s">
        <v>135</v>
      </c>
      <c r="B38" s="34" t="s">
        <v>136</v>
      </c>
      <c r="C38" s="43">
        <v>2.4E-2</v>
      </c>
      <c r="D38" s="35" t="s">
        <v>98</v>
      </c>
      <c r="E38" s="3" t="s">
        <v>137</v>
      </c>
      <c r="F38" s="3"/>
      <c r="G38" s="3"/>
      <c r="H38" s="3"/>
    </row>
    <row r="39" spans="1:8" ht="15.75" customHeight="1" x14ac:dyDescent="0.3">
      <c r="A39" s="22" t="s">
        <v>138</v>
      </c>
      <c r="B39" s="38" t="s">
        <v>139</v>
      </c>
      <c r="C39" s="43">
        <v>1.2500000000000001E-2</v>
      </c>
      <c r="D39" s="40" t="s">
        <v>98</v>
      </c>
      <c r="E39" s="2" t="s">
        <v>140</v>
      </c>
      <c r="F39" s="2"/>
      <c r="G39" s="2"/>
      <c r="H39" s="2"/>
    </row>
    <row r="40" spans="1:8" ht="15.75" customHeight="1" x14ac:dyDescent="0.3">
      <c r="A40" s="22" t="s">
        <v>141</v>
      </c>
      <c r="B40" s="34" t="s">
        <v>142</v>
      </c>
      <c r="C40" s="43">
        <v>1.2999999999999999E-2</v>
      </c>
      <c r="D40" s="35" t="s">
        <v>98</v>
      </c>
      <c r="E40" s="3" t="s">
        <v>143</v>
      </c>
      <c r="F40" s="3"/>
      <c r="G40" s="3"/>
      <c r="H40" s="3"/>
    </row>
    <row r="41" spans="1:8" ht="15.75" customHeight="1" x14ac:dyDescent="0.3">
      <c r="A41" s="22" t="s">
        <v>144</v>
      </c>
      <c r="B41" s="38" t="s">
        <v>145</v>
      </c>
      <c r="C41" s="43">
        <v>4.0000000000000001E-3</v>
      </c>
      <c r="D41" s="40" t="s">
        <v>98</v>
      </c>
      <c r="E41" s="2" t="s">
        <v>146</v>
      </c>
      <c r="F41" s="2"/>
      <c r="G41" s="2"/>
      <c r="H41" s="2"/>
    </row>
    <row r="42" spans="1:8" ht="15.75" customHeight="1" x14ac:dyDescent="0.3">
      <c r="A42" s="22" t="s">
        <v>147</v>
      </c>
      <c r="B42" s="34" t="s">
        <v>148</v>
      </c>
      <c r="C42" s="43">
        <v>4.4999999999999997E-3</v>
      </c>
      <c r="D42" s="35" t="s">
        <v>98</v>
      </c>
      <c r="E42" s="3" t="s">
        <v>149</v>
      </c>
      <c r="F42" s="3"/>
      <c r="G42" s="3"/>
      <c r="H42" s="3"/>
    </row>
    <row r="43" spans="1:8" ht="15.75" customHeight="1" x14ac:dyDescent="0.3">
      <c r="A43" s="22" t="s">
        <v>150</v>
      </c>
      <c r="B43" s="38" t="s">
        <v>151</v>
      </c>
      <c r="C43" s="43">
        <v>9.8999999999999999E-4</v>
      </c>
      <c r="D43" s="40" t="s">
        <v>98</v>
      </c>
      <c r="E43" s="2" t="s">
        <v>152</v>
      </c>
      <c r="F43" s="2"/>
      <c r="G43" s="2"/>
      <c r="H43" s="2"/>
    </row>
    <row r="44" spans="1:8" ht="15.75" customHeight="1" x14ac:dyDescent="0.3">
      <c r="A44" s="22" t="s">
        <v>153</v>
      </c>
      <c r="B44" s="34" t="s">
        <v>154</v>
      </c>
      <c r="C44" s="43">
        <v>1E-3</v>
      </c>
      <c r="D44" s="35" t="s">
        <v>98</v>
      </c>
      <c r="E44" s="3" t="s">
        <v>155</v>
      </c>
      <c r="F44" s="3"/>
      <c r="G44" s="3"/>
      <c r="H44" s="3"/>
    </row>
    <row r="45" spans="1:8" ht="15.75" customHeight="1" x14ac:dyDescent="0.3">
      <c r="A45" s="22" t="s">
        <v>156</v>
      </c>
      <c r="B45" s="38" t="s">
        <v>157</v>
      </c>
      <c r="C45" s="43">
        <v>5.0000000000000001E-3</v>
      </c>
      <c r="D45" s="40" t="s">
        <v>158</v>
      </c>
      <c r="E45" s="2" t="s">
        <v>159</v>
      </c>
      <c r="F45" s="2"/>
      <c r="G45" s="2"/>
      <c r="H45" s="2"/>
    </row>
    <row r="46" spans="1:8" ht="15.75" customHeight="1" x14ac:dyDescent="0.3">
      <c r="A46" s="22" t="s">
        <v>160</v>
      </c>
      <c r="B46" s="34" t="s">
        <v>161</v>
      </c>
      <c r="C46" s="43">
        <v>0.01</v>
      </c>
      <c r="D46" s="35" t="s">
        <v>158</v>
      </c>
      <c r="E46" s="3" t="s">
        <v>162</v>
      </c>
      <c r="F46" s="3"/>
      <c r="G46" s="3"/>
      <c r="H46" s="3"/>
    </row>
    <row r="47" spans="1:8" ht="15.75" customHeight="1" x14ac:dyDescent="0.3">
      <c r="A47" s="22" t="s">
        <v>163</v>
      </c>
      <c r="B47" s="38" t="s">
        <v>164</v>
      </c>
      <c r="C47" s="43">
        <v>0.05</v>
      </c>
      <c r="D47" s="40" t="s">
        <v>158</v>
      </c>
      <c r="E47" s="2" t="s">
        <v>165</v>
      </c>
      <c r="F47" s="2"/>
      <c r="G47" s="2"/>
      <c r="H47" s="2"/>
    </row>
    <row r="48" spans="1:8" ht="15.75" customHeight="1" x14ac:dyDescent="0.3">
      <c r="A48" s="24" t="s">
        <v>166</v>
      </c>
      <c r="B48" s="34" t="s">
        <v>167</v>
      </c>
      <c r="C48" s="48">
        <v>0.02</v>
      </c>
      <c r="D48" s="35" t="s">
        <v>168</v>
      </c>
      <c r="E48" s="3" t="s">
        <v>169</v>
      </c>
      <c r="F48" s="3"/>
      <c r="G48" s="3"/>
      <c r="H48" s="3"/>
    </row>
    <row r="49" spans="1:8" ht="15.75" customHeight="1" x14ac:dyDescent="0.3">
      <c r="A49" s="22" t="s">
        <v>170</v>
      </c>
      <c r="B49" s="38" t="s">
        <v>171</v>
      </c>
      <c r="C49" s="43">
        <v>0.02</v>
      </c>
      <c r="D49" s="40" t="s">
        <v>111</v>
      </c>
      <c r="E49" s="2" t="s">
        <v>172</v>
      </c>
      <c r="F49" s="2"/>
      <c r="G49" s="2"/>
      <c r="H49" s="2"/>
    </row>
    <row r="50" spans="1:8" ht="15.75" customHeight="1" x14ac:dyDescent="0.3">
      <c r="A50" s="22" t="s">
        <v>173</v>
      </c>
      <c r="B50" s="34" t="s">
        <v>174</v>
      </c>
      <c r="C50" s="43">
        <v>0.09</v>
      </c>
      <c r="D50" s="35" t="s">
        <v>111</v>
      </c>
      <c r="E50" s="3" t="s">
        <v>175</v>
      </c>
      <c r="F50" s="3"/>
      <c r="G50" s="3"/>
      <c r="H50" s="3"/>
    </row>
    <row r="51" spans="1:8" ht="27.75" customHeight="1" x14ac:dyDescent="0.3">
      <c r="A51" s="25" t="s">
        <v>176</v>
      </c>
      <c r="B51" s="31" t="s">
        <v>177</v>
      </c>
      <c r="C51" s="49">
        <v>130</v>
      </c>
      <c r="D51" s="33" t="s">
        <v>178</v>
      </c>
      <c r="E51" s="362" t="s">
        <v>179</v>
      </c>
      <c r="F51" s="362"/>
      <c r="G51" s="362"/>
      <c r="H51" s="362"/>
    </row>
    <row r="52" spans="1:8" ht="15.75" customHeight="1" x14ac:dyDescent="0.3">
      <c r="A52" s="22" t="s">
        <v>180</v>
      </c>
      <c r="B52" s="31" t="s">
        <v>181</v>
      </c>
      <c r="C52" s="51">
        <v>0</v>
      </c>
      <c r="D52" s="40" t="s">
        <v>182</v>
      </c>
      <c r="E52" s="4" t="s">
        <v>183</v>
      </c>
      <c r="F52" s="4"/>
      <c r="G52" s="4"/>
      <c r="H52" s="4"/>
    </row>
    <row r="53" spans="1:8" ht="15.75" customHeight="1" x14ac:dyDescent="0.3">
      <c r="A53" s="22" t="s">
        <v>184</v>
      </c>
      <c r="B53" s="38" t="s">
        <v>185</v>
      </c>
      <c r="C53" s="52">
        <v>5</v>
      </c>
      <c r="D53" s="40" t="s">
        <v>186</v>
      </c>
      <c r="E53" s="2" t="s">
        <v>187</v>
      </c>
      <c r="F53" s="2"/>
      <c r="G53" s="2"/>
      <c r="H53" s="2"/>
    </row>
    <row r="54" spans="1:8" ht="15.75" customHeight="1" x14ac:dyDescent="0.3">
      <c r="A54" s="22" t="s">
        <v>188</v>
      </c>
      <c r="B54" s="34" t="s">
        <v>189</v>
      </c>
      <c r="C54" s="43">
        <v>31</v>
      </c>
      <c r="D54" s="35" t="s">
        <v>182</v>
      </c>
      <c r="E54" s="3" t="s">
        <v>190</v>
      </c>
      <c r="F54" s="3"/>
      <c r="G54" s="3"/>
      <c r="H54" s="3"/>
    </row>
    <row r="55" spans="1:8" ht="15.75" customHeight="1" x14ac:dyDescent="0.3">
      <c r="A55" s="22" t="s">
        <v>191</v>
      </c>
      <c r="B55" s="38" t="s">
        <v>192</v>
      </c>
      <c r="C55" s="43">
        <v>1</v>
      </c>
      <c r="D55" s="40" t="s">
        <v>182</v>
      </c>
      <c r="E55" s="2" t="s">
        <v>193</v>
      </c>
      <c r="F55" s="2"/>
      <c r="G55" s="2"/>
      <c r="H55" s="2"/>
    </row>
    <row r="56" spans="1:8" ht="15.75" customHeight="1" x14ac:dyDescent="0.3">
      <c r="A56" s="22" t="s">
        <v>194</v>
      </c>
      <c r="B56" s="34" t="s">
        <v>195</v>
      </c>
      <c r="C56" s="52">
        <v>5</v>
      </c>
      <c r="D56" s="35" t="s">
        <v>196</v>
      </c>
      <c r="E56" s="3" t="s">
        <v>197</v>
      </c>
      <c r="F56" s="3"/>
      <c r="G56" s="3"/>
      <c r="H56" s="3"/>
    </row>
    <row r="57" spans="1:8" ht="15.75" customHeight="1" x14ac:dyDescent="0.3">
      <c r="A57" s="22" t="s">
        <v>198</v>
      </c>
      <c r="B57" s="38" t="s">
        <v>199</v>
      </c>
      <c r="C57" s="43">
        <v>2</v>
      </c>
      <c r="D57" s="40" t="s">
        <v>182</v>
      </c>
      <c r="E57" s="2" t="s">
        <v>200</v>
      </c>
      <c r="F57" s="2"/>
      <c r="G57" s="2"/>
      <c r="H57" s="2"/>
    </row>
    <row r="58" spans="1:8" ht="15.75" customHeight="1" x14ac:dyDescent="0.3">
      <c r="A58" s="22" t="s">
        <v>201</v>
      </c>
      <c r="B58" s="34" t="s">
        <v>202</v>
      </c>
      <c r="C58" s="43">
        <v>10</v>
      </c>
      <c r="D58" s="35" t="s">
        <v>182</v>
      </c>
      <c r="E58" s="3" t="s">
        <v>203</v>
      </c>
      <c r="F58" s="3"/>
      <c r="G58" s="3"/>
      <c r="H58" s="3"/>
    </row>
    <row r="59" spans="1:8" ht="15.75" customHeight="1" x14ac:dyDescent="0.3">
      <c r="A59" s="22" t="s">
        <v>204</v>
      </c>
      <c r="B59" s="38" t="s">
        <v>205</v>
      </c>
      <c r="C59" s="43">
        <v>65</v>
      </c>
      <c r="D59" s="40" t="s">
        <v>182</v>
      </c>
      <c r="E59" s="2" t="s">
        <v>206</v>
      </c>
      <c r="F59" s="2"/>
      <c r="G59" s="2"/>
      <c r="H59" s="2"/>
    </row>
    <row r="60" spans="1:8" ht="15.75" customHeight="1" x14ac:dyDescent="0.3">
      <c r="A60" s="22" t="s">
        <v>207</v>
      </c>
      <c r="B60" s="34" t="s">
        <v>208</v>
      </c>
      <c r="C60" s="43">
        <v>86</v>
      </c>
      <c r="D60" s="35" t="s">
        <v>182</v>
      </c>
      <c r="E60" s="3" t="s">
        <v>209</v>
      </c>
      <c r="F60" s="3"/>
      <c r="G60" s="3"/>
      <c r="H60" s="3"/>
    </row>
    <row r="61" spans="1:8" ht="15.75" customHeight="1" x14ac:dyDescent="0.3">
      <c r="A61" s="22" t="s">
        <v>210</v>
      </c>
      <c r="B61" s="38" t="s">
        <v>211</v>
      </c>
      <c r="C61" s="43">
        <v>39</v>
      </c>
      <c r="D61" s="40" t="s">
        <v>182</v>
      </c>
      <c r="E61" s="2" t="s">
        <v>212</v>
      </c>
      <c r="F61" s="2"/>
      <c r="G61" s="2"/>
      <c r="H61" s="2"/>
    </row>
    <row r="62" spans="1:8" ht="15.75" customHeight="1" x14ac:dyDescent="0.3">
      <c r="A62" s="22" t="s">
        <v>213</v>
      </c>
      <c r="B62" s="34" t="s">
        <v>214</v>
      </c>
      <c r="C62" s="43">
        <v>1.2500000000000001E-2</v>
      </c>
      <c r="D62" s="35" t="s">
        <v>111</v>
      </c>
      <c r="E62" s="3" t="s">
        <v>215</v>
      </c>
      <c r="F62" s="3"/>
      <c r="G62" s="3"/>
      <c r="H62" s="3"/>
    </row>
    <row r="63" spans="1:8" ht="15.75" customHeight="1" x14ac:dyDescent="0.3">
      <c r="A63" s="22" t="s">
        <v>216</v>
      </c>
      <c r="B63" s="38" t="s">
        <v>217</v>
      </c>
      <c r="C63" s="48">
        <v>0.05</v>
      </c>
      <c r="D63" s="40" t="s">
        <v>168</v>
      </c>
      <c r="E63" s="2" t="s">
        <v>218</v>
      </c>
      <c r="F63" s="2"/>
      <c r="G63" s="2"/>
      <c r="H63" s="2"/>
    </row>
    <row r="64" spans="1:8" ht="34.5" customHeight="1" x14ac:dyDescent="0.3">
      <c r="A64" s="22" t="s">
        <v>219</v>
      </c>
      <c r="B64" s="34" t="s">
        <v>220</v>
      </c>
      <c r="C64" s="53">
        <v>26455.17</v>
      </c>
      <c r="D64" s="35" t="s">
        <v>182</v>
      </c>
      <c r="E64" s="2" t="s">
        <v>221</v>
      </c>
      <c r="F64" s="2"/>
      <c r="G64" s="2"/>
      <c r="H64" s="2"/>
    </row>
    <row r="65" spans="1:8" ht="15.75" customHeight="1" x14ac:dyDescent="0.3">
      <c r="A65" s="23" t="s">
        <v>222</v>
      </c>
      <c r="B65" s="31" t="s">
        <v>223</v>
      </c>
      <c r="C65" s="51">
        <v>3000</v>
      </c>
      <c r="D65" s="33" t="s">
        <v>182</v>
      </c>
      <c r="E65" s="4" t="s">
        <v>224</v>
      </c>
      <c r="F65" s="4"/>
      <c r="G65" s="4"/>
      <c r="H65" s="4"/>
    </row>
    <row r="66" spans="1:8" ht="36" customHeight="1" x14ac:dyDescent="0.3">
      <c r="A66" s="54" t="s">
        <v>225</v>
      </c>
      <c r="B66" s="55" t="s">
        <v>226</v>
      </c>
      <c r="C66" s="56">
        <f>C64+C65</f>
        <v>29455.17</v>
      </c>
      <c r="D66" s="57" t="s">
        <v>182</v>
      </c>
      <c r="E66" s="2" t="s">
        <v>227</v>
      </c>
      <c r="F66" s="2"/>
      <c r="G66" s="2"/>
      <c r="H66" s="2"/>
    </row>
  </sheetData>
  <mergeCells count="60">
    <mergeCell ref="E62:H62"/>
    <mergeCell ref="E63:H63"/>
    <mergeCell ref="E64:H64"/>
    <mergeCell ref="E65:H65"/>
    <mergeCell ref="E66:H66"/>
    <mergeCell ref="E57:H57"/>
    <mergeCell ref="E58:H58"/>
    <mergeCell ref="E59:H59"/>
    <mergeCell ref="E60:H60"/>
    <mergeCell ref="E61:H61"/>
    <mergeCell ref="E52:H52"/>
    <mergeCell ref="E53:H53"/>
    <mergeCell ref="E54:H54"/>
    <mergeCell ref="E55:H55"/>
    <mergeCell ref="E56:H56"/>
    <mergeCell ref="E47:H47"/>
    <mergeCell ref="E48:H48"/>
    <mergeCell ref="E49:H49"/>
    <mergeCell ref="E50:H50"/>
    <mergeCell ref="E51:H51"/>
    <mergeCell ref="E42:H42"/>
    <mergeCell ref="E43:H43"/>
    <mergeCell ref="E44:H44"/>
    <mergeCell ref="E45:H45"/>
    <mergeCell ref="E46:H46"/>
    <mergeCell ref="E37:H37"/>
    <mergeCell ref="E38:H38"/>
    <mergeCell ref="E39:H39"/>
    <mergeCell ref="E40:H40"/>
    <mergeCell ref="E41:H41"/>
    <mergeCell ref="E30:H30"/>
    <mergeCell ref="E31:H31"/>
    <mergeCell ref="E32:H32"/>
    <mergeCell ref="E33:H33"/>
    <mergeCell ref="A35:H35"/>
    <mergeCell ref="E25:H25"/>
    <mergeCell ref="E26:H26"/>
    <mergeCell ref="E27:H27"/>
    <mergeCell ref="E28:H28"/>
    <mergeCell ref="E29:H29"/>
    <mergeCell ref="E18:H18"/>
    <mergeCell ref="E19:H19"/>
    <mergeCell ref="A21:H21"/>
    <mergeCell ref="E23:H23"/>
    <mergeCell ref="E24:H24"/>
    <mergeCell ref="E13:H13"/>
    <mergeCell ref="E14:H14"/>
    <mergeCell ref="E15:H15"/>
    <mergeCell ref="E16:H16"/>
    <mergeCell ref="E17:H17"/>
    <mergeCell ref="E8:H8"/>
    <mergeCell ref="E9:H9"/>
    <mergeCell ref="E10:H10"/>
    <mergeCell ref="E11:H11"/>
    <mergeCell ref="E12:H12"/>
    <mergeCell ref="A1:H1"/>
    <mergeCell ref="A2:H2"/>
    <mergeCell ref="A4:H4"/>
    <mergeCell ref="E6:H6"/>
    <mergeCell ref="E7:H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9"/>
  <sheetViews>
    <sheetView showGridLines="0" zoomScale="90" zoomScaleNormal="90" workbookViewId="0">
      <selection sqref="A1:H1"/>
    </sheetView>
  </sheetViews>
  <sheetFormatPr defaultColWidth="8.6640625" defaultRowHeight="14.4" x14ac:dyDescent="0.3"/>
  <cols>
    <col min="1" max="1" width="16.21875" customWidth="1"/>
    <col min="2" max="2" width="30" customWidth="1"/>
    <col min="3" max="7" width="16" customWidth="1"/>
    <col min="8" max="8" width="32" customWidth="1"/>
  </cols>
  <sheetData>
    <row r="1" spans="1:8" ht="27.75" customHeight="1" x14ac:dyDescent="0.3">
      <c r="A1" s="363" t="s">
        <v>228</v>
      </c>
      <c r="B1" s="363"/>
      <c r="C1" s="363"/>
      <c r="D1" s="363"/>
      <c r="E1" s="363"/>
      <c r="F1" s="363"/>
      <c r="G1" s="363"/>
      <c r="H1" s="363"/>
    </row>
    <row r="2" spans="1:8" ht="15.75" customHeight="1" x14ac:dyDescent="0.3">
      <c r="A2" s="364" t="s">
        <v>229</v>
      </c>
      <c r="B2" s="364"/>
      <c r="C2" s="364"/>
      <c r="D2" s="364"/>
      <c r="E2" s="364"/>
      <c r="F2" s="364"/>
      <c r="G2" s="364"/>
      <c r="H2" s="364"/>
    </row>
    <row r="4" spans="1:8" ht="31.5" customHeight="1" x14ac:dyDescent="0.3">
      <c r="A4" s="365" t="s">
        <v>230</v>
      </c>
      <c r="B4" s="365"/>
      <c r="C4" s="365"/>
      <c r="D4" s="365"/>
      <c r="E4" s="365"/>
      <c r="F4" s="365"/>
      <c r="G4" s="365"/>
      <c r="H4" s="365"/>
    </row>
    <row r="5" spans="1:8" ht="39.75" customHeight="1" x14ac:dyDescent="0.3">
      <c r="A5" s="366">
        <f>C53</f>
        <v>41455.17</v>
      </c>
      <c r="B5" s="366"/>
      <c r="C5" s="367">
        <f>C99</f>
        <v>1625.8400000000001</v>
      </c>
      <c r="D5" s="367"/>
      <c r="E5" s="368">
        <f>C53-C99</f>
        <v>39829.33</v>
      </c>
      <c r="F5" s="368"/>
      <c r="G5" s="369">
        <f>D86</f>
        <v>121872.3</v>
      </c>
      <c r="H5" s="369"/>
    </row>
    <row r="6" spans="1:8" ht="21.75" customHeight="1" x14ac:dyDescent="0.3">
      <c r="A6" s="370" t="str">
        <f>"$"&amp;TEXT(C53*12,"#,##0")&amp;"/yr  |  HubStor $26,455 + Backup $3,000 + Arivis $12,000"</f>
        <v>$497,462/yr  |  HubStor $26,455 + Backup $3,000 + Arivis $12,000</v>
      </c>
      <c r="B6" s="370"/>
      <c r="C6" s="371" t="str">
        <f>"$"&amp;TEXT(C99*12,"#,##0")&amp;"/yr  |  S3 $998 + Gateway $390 + ops $238"</f>
        <v>$19,510/yr  |  S3 $998 + Gateway $390 + ops $238</v>
      </c>
      <c r="D6" s="371"/>
      <c r="E6" s="372" t="str">
        <f>IFERROR(TEXT(C53-C99,"$#,##0")&amp;"/mo  |  "&amp;TEXT((C53-C99)/C53*100,"0.0")&amp;"% cost reduction (AWS only)","see C53 minus C99")</f>
        <v>$39,829/mo  |  96.1% cost reduction (AWS only)</v>
      </c>
      <c r="F6" s="372"/>
      <c r="G6" s="373" t="str">
        <f>"AWS ~$"&amp;TEXT(D84,"#,##0")&amp;"  +  Vendor ~$"&amp;TEXT(D86-D84,"#,##0")&amp;"  (vendor fees TBD)"</f>
        <v>AWS ~$38,255  +  Vendor ~$83,618  (vendor fees TBD)</v>
      </c>
      <c r="H6" s="373"/>
    </row>
    <row r="7" spans="1:8" ht="27.75" customHeight="1" x14ac:dyDescent="0.3"/>
    <row r="8" spans="1:8" ht="19.5" customHeight="1" x14ac:dyDescent="0.3">
      <c r="A8" s="12" t="s">
        <v>231</v>
      </c>
      <c r="B8" s="12"/>
      <c r="C8" s="12"/>
      <c r="D8" s="12"/>
      <c r="E8" s="12"/>
      <c r="F8" s="12"/>
      <c r="G8" s="12"/>
      <c r="H8" s="12"/>
    </row>
    <row r="9" spans="1:8" ht="91.2" customHeight="1" x14ac:dyDescent="0.3">
      <c r="A9" s="374" t="s">
        <v>232</v>
      </c>
      <c r="B9" s="374"/>
      <c r="C9" s="58"/>
      <c r="D9" s="58"/>
      <c r="E9" s="375" t="s">
        <v>233</v>
      </c>
      <c r="F9" s="375"/>
      <c r="G9" s="375"/>
      <c r="H9" s="375"/>
    </row>
    <row r="11" spans="1:8" ht="21.75" customHeight="1" x14ac:dyDescent="0.3">
      <c r="A11" s="376" t="s">
        <v>234</v>
      </c>
      <c r="B11" s="376"/>
      <c r="C11" s="376"/>
      <c r="D11" s="376"/>
      <c r="E11" s="376"/>
      <c r="F11" s="376"/>
      <c r="G11" s="376"/>
      <c r="H11" s="376"/>
    </row>
    <row r="12" spans="1:8" ht="63.6" customHeight="1" x14ac:dyDescent="0.3">
      <c r="A12" s="377" t="s">
        <v>235</v>
      </c>
      <c r="B12" s="377"/>
      <c r="C12" s="377"/>
      <c r="D12" s="377"/>
      <c r="E12" s="377"/>
      <c r="F12" s="377"/>
      <c r="G12" s="377"/>
      <c r="H12" s="377"/>
    </row>
    <row r="13" spans="1:8" ht="31.8" customHeight="1" x14ac:dyDescent="0.3">
      <c r="A13" s="61" t="s">
        <v>236</v>
      </c>
      <c r="B13" s="61" t="s">
        <v>237</v>
      </c>
      <c r="C13" s="61" t="s">
        <v>238</v>
      </c>
      <c r="D13" s="61" t="s">
        <v>239</v>
      </c>
      <c r="E13" s="61" t="s">
        <v>240</v>
      </c>
      <c r="F13" s="61" t="s">
        <v>241</v>
      </c>
      <c r="G13" s="61" t="s">
        <v>242</v>
      </c>
      <c r="H13" s="61" t="s">
        <v>243</v>
      </c>
    </row>
    <row r="14" spans="1:8" ht="21.75" customHeight="1" x14ac:dyDescent="0.3">
      <c r="A14" s="62" t="s">
        <v>244</v>
      </c>
      <c r="B14" s="63">
        <f>C53</f>
        <v>41455.17</v>
      </c>
      <c r="C14" s="64">
        <f>C99</f>
        <v>1625.8400000000001</v>
      </c>
      <c r="D14" s="65">
        <f t="shared" ref="D14:D20" si="0">B14-C14</f>
        <v>39829.33</v>
      </c>
      <c r="E14" s="66" t="s">
        <v>245</v>
      </c>
      <c r="F14" s="64">
        <f>D14</f>
        <v>39829.33</v>
      </c>
      <c r="G14" s="67" t="s">
        <v>245</v>
      </c>
      <c r="H14" s="68" t="s">
        <v>246</v>
      </c>
    </row>
    <row r="15" spans="1:8" ht="21.75" customHeight="1" x14ac:dyDescent="0.3">
      <c r="A15" s="69" t="s">
        <v>247</v>
      </c>
      <c r="B15" s="70">
        <f>C53*12</f>
        <v>497462.04</v>
      </c>
      <c r="C15" s="71">
        <f>C99*12</f>
        <v>19510.080000000002</v>
      </c>
      <c r="D15" s="72">
        <f t="shared" si="0"/>
        <v>477951.95999999996</v>
      </c>
      <c r="E15" s="73">
        <f>D84</f>
        <v>38254.699999999997</v>
      </c>
      <c r="F15" s="71">
        <f>D15-E15</f>
        <v>439697.25999999995</v>
      </c>
      <c r="G15" s="74">
        <f>F15</f>
        <v>439697.25999999995</v>
      </c>
      <c r="H15" s="75" t="s">
        <v>248</v>
      </c>
    </row>
    <row r="16" spans="1:8" ht="21.75" customHeight="1" x14ac:dyDescent="0.3">
      <c r="A16" s="62" t="s">
        <v>249</v>
      </c>
      <c r="B16" s="63">
        <f>C53*12</f>
        <v>497462.04</v>
      </c>
      <c r="C16" s="64">
        <f>C99*12*1.05</f>
        <v>20485.584000000003</v>
      </c>
      <c r="D16" s="65">
        <f t="shared" si="0"/>
        <v>476976.45600000001</v>
      </c>
      <c r="E16" s="66" t="s">
        <v>250</v>
      </c>
      <c r="F16" s="64">
        <f>D16</f>
        <v>476976.45600000001</v>
      </c>
      <c r="G16" s="76">
        <f>G15+F16</f>
        <v>916673.71600000001</v>
      </c>
      <c r="H16" s="68" t="s">
        <v>251</v>
      </c>
    </row>
    <row r="17" spans="1:8" ht="21.75" customHeight="1" x14ac:dyDescent="0.3">
      <c r="A17" s="69" t="s">
        <v>252</v>
      </c>
      <c r="B17" s="70">
        <f>C53*12</f>
        <v>497462.04</v>
      </c>
      <c r="C17" s="71">
        <f>C99*12*1.05^2</f>
        <v>21509.863200000003</v>
      </c>
      <c r="D17" s="72">
        <f t="shared" si="0"/>
        <v>475952.17679999996</v>
      </c>
      <c r="E17" s="77" t="s">
        <v>250</v>
      </c>
      <c r="F17" s="71">
        <f>D17</f>
        <v>475952.17679999996</v>
      </c>
      <c r="G17" s="74">
        <f>G16+F17</f>
        <v>1392625.8928</v>
      </c>
      <c r="H17" s="75"/>
    </row>
    <row r="18" spans="1:8" ht="21.75" customHeight="1" x14ac:dyDescent="0.3">
      <c r="A18" s="62" t="s">
        <v>253</v>
      </c>
      <c r="B18" s="63">
        <f>C53*12</f>
        <v>497462.04</v>
      </c>
      <c r="C18" s="64">
        <f>C99*12*1.05^3</f>
        <v>22585.356360000005</v>
      </c>
      <c r="D18" s="65">
        <f t="shared" si="0"/>
        <v>474876.68363999994</v>
      </c>
      <c r="E18" s="66" t="s">
        <v>250</v>
      </c>
      <c r="F18" s="64">
        <f>D18</f>
        <v>474876.68363999994</v>
      </c>
      <c r="G18" s="76">
        <f>G17+F18</f>
        <v>1867502.57644</v>
      </c>
      <c r="H18" s="68"/>
    </row>
    <row r="19" spans="1:8" ht="21.75" customHeight="1" x14ac:dyDescent="0.3">
      <c r="A19" s="69" t="s">
        <v>254</v>
      </c>
      <c r="B19" s="70">
        <f>C53*12</f>
        <v>497462.04</v>
      </c>
      <c r="C19" s="71">
        <f>C99*12*1.05^4</f>
        <v>23714.624178000002</v>
      </c>
      <c r="D19" s="72">
        <f t="shared" si="0"/>
        <v>473747.41582199995</v>
      </c>
      <c r="E19" s="77" t="s">
        <v>250</v>
      </c>
      <c r="F19" s="71">
        <f>D19</f>
        <v>473747.41582199995</v>
      </c>
      <c r="G19" s="74">
        <f>G18+F19</f>
        <v>2341249.9922619998</v>
      </c>
      <c r="H19" s="75"/>
    </row>
    <row r="20" spans="1:8" ht="21.75" customHeight="1" x14ac:dyDescent="0.3">
      <c r="A20" s="78" t="s">
        <v>255</v>
      </c>
      <c r="B20" s="79">
        <f>C53*60</f>
        <v>2487310.1999999997</v>
      </c>
      <c r="C20" s="80">
        <f>SUM(C15:C19)</f>
        <v>107805.50773800001</v>
      </c>
      <c r="D20" s="81">
        <f t="shared" si="0"/>
        <v>2379504.6922619995</v>
      </c>
      <c r="E20" s="82">
        <f>D84</f>
        <v>38254.699999999997</v>
      </c>
      <c r="F20" s="83">
        <f>D20-E20</f>
        <v>2341249.9922619993</v>
      </c>
      <c r="G20" s="84">
        <f>G19</f>
        <v>2341249.9922619998</v>
      </c>
      <c r="H20" s="85" t="s">
        <v>256</v>
      </c>
    </row>
    <row r="21" spans="1:8" ht="25.5" customHeight="1" x14ac:dyDescent="0.3">
      <c r="A21" s="378" t="s">
        <v>257</v>
      </c>
      <c r="B21" s="378"/>
      <c r="C21" s="379">
        <f>IFERROR(D84/(C53-C99),0)</f>
        <v>0.9604655664556746</v>
      </c>
      <c r="D21" s="379"/>
      <c r="E21" s="377" t="str">
        <f>IFERROR(TEXT(D84,"$#,##0")&amp;" ÷ $"&amp;TEXT(C53-C99,"#,##0")&amp;"/mo = "&amp;TEXT(D84/(C53-C99),"0.0")&amp;" months from Jan 2027","Calculating...")</f>
        <v>$38,255 ÷ $39,829/mo = 1.0 months from Jan 2027</v>
      </c>
      <c r="F21" s="377"/>
      <c r="G21" s="377"/>
      <c r="H21" s="377"/>
    </row>
    <row r="23" spans="1:8" ht="21.75" customHeight="1" x14ac:dyDescent="0.3">
      <c r="A23" s="380" t="s">
        <v>258</v>
      </c>
      <c r="B23" s="380"/>
      <c r="C23" s="380"/>
      <c r="D23" s="380"/>
      <c r="E23" s="380"/>
      <c r="F23" s="380"/>
      <c r="G23" s="380"/>
      <c r="H23" s="380"/>
    </row>
    <row r="24" spans="1:8" ht="19.5" customHeight="1" x14ac:dyDescent="0.3">
      <c r="A24" s="381" t="s">
        <v>259</v>
      </c>
      <c r="B24" s="381"/>
      <c r="C24" s="381"/>
      <c r="D24" s="381"/>
      <c r="E24" s="381"/>
      <c r="F24" s="381"/>
      <c r="G24" s="381"/>
      <c r="H24" s="381"/>
    </row>
    <row r="25" spans="1:8" ht="19.5" customHeight="1" x14ac:dyDescent="0.3">
      <c r="A25" s="40" t="s">
        <v>260</v>
      </c>
      <c r="B25" s="40" t="s">
        <v>261</v>
      </c>
      <c r="C25" s="87" t="s">
        <v>262</v>
      </c>
      <c r="D25" s="88" t="s">
        <v>263</v>
      </c>
      <c r="E25" s="88" t="s">
        <v>264</v>
      </c>
      <c r="F25" s="40" t="s">
        <v>265</v>
      </c>
      <c r="G25" s="89" t="s">
        <v>266</v>
      </c>
    </row>
    <row r="26" spans="1:8" ht="19.5" customHeight="1" x14ac:dyDescent="0.3">
      <c r="A26" s="40" t="s">
        <v>267</v>
      </c>
      <c r="B26" s="40" t="s">
        <v>261</v>
      </c>
      <c r="C26" s="87" t="s">
        <v>268</v>
      </c>
      <c r="D26" s="88" t="s">
        <v>269</v>
      </c>
      <c r="E26" s="88" t="s">
        <v>270</v>
      </c>
      <c r="F26" s="40" t="s">
        <v>271</v>
      </c>
      <c r="G26" s="89" t="s">
        <v>272</v>
      </c>
    </row>
    <row r="27" spans="1:8" ht="19.5" customHeight="1" x14ac:dyDescent="0.3">
      <c r="A27" s="87" t="s">
        <v>273</v>
      </c>
      <c r="B27" s="40" t="s">
        <v>261</v>
      </c>
      <c r="C27" s="87" t="s">
        <v>274</v>
      </c>
      <c r="D27" s="88" t="s">
        <v>275</v>
      </c>
      <c r="E27" s="88" t="s">
        <v>276</v>
      </c>
      <c r="F27" s="40" t="s">
        <v>277</v>
      </c>
      <c r="G27" s="89" t="s">
        <v>278</v>
      </c>
    </row>
    <row r="28" spans="1:8" ht="19.5" customHeight="1" x14ac:dyDescent="0.3">
      <c r="A28" s="90" t="s">
        <v>279</v>
      </c>
      <c r="B28" s="90" t="s">
        <v>261</v>
      </c>
      <c r="C28" s="91" t="s">
        <v>280</v>
      </c>
      <c r="D28" s="92" t="s">
        <v>281</v>
      </c>
      <c r="E28" s="92" t="s">
        <v>282</v>
      </c>
      <c r="F28" s="90" t="s">
        <v>283</v>
      </c>
      <c r="G28" s="93" t="s">
        <v>284</v>
      </c>
    </row>
    <row r="29" spans="1:8" ht="19.5" customHeight="1" x14ac:dyDescent="0.3">
      <c r="A29" s="90" t="s">
        <v>285</v>
      </c>
      <c r="B29" s="90" t="s">
        <v>261</v>
      </c>
      <c r="C29" s="91" t="s">
        <v>286</v>
      </c>
      <c r="D29" s="92" t="s">
        <v>287</v>
      </c>
      <c r="E29" s="92" t="s">
        <v>288</v>
      </c>
      <c r="F29" s="90" t="s">
        <v>289</v>
      </c>
      <c r="G29" s="93" t="s">
        <v>290</v>
      </c>
    </row>
    <row r="30" spans="1:8" ht="19.5" customHeight="1" x14ac:dyDescent="0.3">
      <c r="A30" s="45" t="s">
        <v>291</v>
      </c>
      <c r="B30" s="45" t="s">
        <v>261</v>
      </c>
      <c r="C30" s="94" t="s">
        <v>292</v>
      </c>
      <c r="D30" s="95" t="s">
        <v>293</v>
      </c>
      <c r="E30" s="95" t="s">
        <v>294</v>
      </c>
      <c r="F30" s="45" t="s">
        <v>295</v>
      </c>
      <c r="G30" s="96" t="s">
        <v>296</v>
      </c>
    </row>
    <row r="31" spans="1:8" ht="25.5" customHeight="1" x14ac:dyDescent="0.3"/>
    <row r="32" spans="1:8" ht="7.5" customHeight="1" x14ac:dyDescent="0.3">
      <c r="A32" s="382"/>
      <c r="B32" s="382"/>
      <c r="C32" s="382"/>
      <c r="D32" s="382"/>
      <c r="E32" s="382"/>
      <c r="F32" s="382"/>
      <c r="G32" s="382"/>
      <c r="H32" s="382"/>
    </row>
    <row r="33" spans="1:8" ht="21.75" customHeight="1" x14ac:dyDescent="0.3">
      <c r="A33" s="383" t="s">
        <v>297</v>
      </c>
      <c r="B33" s="383"/>
      <c r="C33" s="383"/>
      <c r="D33" s="383"/>
      <c r="E33" s="383"/>
      <c r="F33" s="383"/>
      <c r="G33" s="383"/>
      <c r="H33" s="383"/>
    </row>
    <row r="34" spans="1:8" ht="25.5" customHeight="1" x14ac:dyDescent="0.3"/>
    <row r="35" spans="1:8" ht="25.5" customHeight="1" x14ac:dyDescent="0.3"/>
    <row r="36" spans="1:8" ht="25.5" customHeight="1" x14ac:dyDescent="0.3"/>
    <row r="37" spans="1:8" ht="25.5" customHeight="1" x14ac:dyDescent="0.3"/>
    <row r="38" spans="1:8" ht="25.5" customHeight="1" x14ac:dyDescent="0.3"/>
    <row r="39" spans="1:8" ht="25.5" customHeight="1" x14ac:dyDescent="0.3"/>
    <row r="40" spans="1:8" ht="19.5" customHeight="1" x14ac:dyDescent="0.3">
      <c r="A40" s="384"/>
      <c r="B40" s="384"/>
    </row>
    <row r="41" spans="1:8" ht="19.5" customHeight="1" x14ac:dyDescent="0.3">
      <c r="A41" s="384"/>
      <c r="B41" s="384"/>
    </row>
    <row r="42" spans="1:8" ht="21.75" customHeight="1" x14ac:dyDescent="0.3">
      <c r="A42" s="384"/>
      <c r="B42" s="384"/>
    </row>
    <row r="44" spans="1:8" ht="21.75" customHeight="1" x14ac:dyDescent="0.3">
      <c r="A44" s="384"/>
      <c r="B44" s="384"/>
      <c r="C44" s="384"/>
      <c r="D44" s="384"/>
      <c r="E44" s="384"/>
      <c r="F44" s="384"/>
      <c r="G44" s="384"/>
      <c r="H44" s="384"/>
    </row>
    <row r="45" spans="1:8" ht="19.5" customHeight="1" x14ac:dyDescent="0.3">
      <c r="A45" s="385" t="s">
        <v>298</v>
      </c>
      <c r="B45" s="385"/>
      <c r="C45" s="385"/>
      <c r="D45" s="385"/>
      <c r="E45" s="385"/>
      <c r="F45" s="385"/>
      <c r="G45" s="385"/>
      <c r="H45" s="385"/>
    </row>
    <row r="46" spans="1:8" ht="19.5" customHeight="1" x14ac:dyDescent="0.3">
      <c r="A46" s="60" t="s">
        <v>299</v>
      </c>
      <c r="B46" s="97"/>
      <c r="C46" s="97"/>
      <c r="D46" s="97"/>
      <c r="E46" s="97"/>
      <c r="F46" s="97"/>
      <c r="G46" s="97"/>
      <c r="H46" s="97"/>
    </row>
    <row r="47" spans="1:8" ht="25.5" customHeight="1" x14ac:dyDescent="0.3"/>
    <row r="48" spans="1:8" ht="25.5" customHeight="1" x14ac:dyDescent="0.3">
      <c r="A48" s="15" t="s">
        <v>300</v>
      </c>
      <c r="B48" s="97"/>
      <c r="C48" s="97"/>
      <c r="D48" s="97"/>
      <c r="E48" s="97"/>
      <c r="F48" s="97"/>
      <c r="G48" s="97"/>
      <c r="H48" s="97"/>
    </row>
    <row r="49" spans="1:8" ht="25.5" customHeight="1" x14ac:dyDescent="0.3">
      <c r="A49" s="16" t="s">
        <v>3</v>
      </c>
      <c r="B49" s="16" t="s">
        <v>301</v>
      </c>
      <c r="C49" s="16" t="s">
        <v>302</v>
      </c>
      <c r="D49" s="16" t="s">
        <v>303</v>
      </c>
      <c r="E49" s="16" t="s">
        <v>243</v>
      </c>
    </row>
    <row r="50" spans="1:8" ht="25.5" customHeight="1" x14ac:dyDescent="0.3">
      <c r="A50" s="16" t="s">
        <v>304</v>
      </c>
      <c r="B50" s="98" t="s">
        <v>305</v>
      </c>
      <c r="C50" s="99">
        <v>26455.17</v>
      </c>
      <c r="D50" s="100">
        <f>C50*12</f>
        <v>317462.03999999998</v>
      </c>
      <c r="E50" s="101" t="s">
        <v>306</v>
      </c>
    </row>
    <row r="51" spans="1:8" ht="25.5" customHeight="1" x14ac:dyDescent="0.3">
      <c r="A51" s="16" t="s">
        <v>307</v>
      </c>
      <c r="B51" s="98" t="s">
        <v>308</v>
      </c>
      <c r="C51" s="99">
        <v>3000</v>
      </c>
      <c r="D51" s="100">
        <f>C51*12</f>
        <v>36000</v>
      </c>
      <c r="E51" s="101" t="s">
        <v>309</v>
      </c>
    </row>
    <row r="52" spans="1:8" ht="25.5" customHeight="1" x14ac:dyDescent="0.3">
      <c r="A52" s="16" t="s">
        <v>310</v>
      </c>
      <c r="B52" s="102" t="s">
        <v>311</v>
      </c>
      <c r="C52" s="99">
        <v>12000</v>
      </c>
      <c r="D52" s="103">
        <f>C52*12</f>
        <v>144000</v>
      </c>
      <c r="E52" s="104" t="s">
        <v>312</v>
      </c>
    </row>
    <row r="53" spans="1:8" ht="25.5" customHeight="1" x14ac:dyDescent="0.3">
      <c r="A53" s="15" t="s">
        <v>313</v>
      </c>
      <c r="B53" s="97"/>
      <c r="C53" s="105">
        <f>SUM(C50:C52)</f>
        <v>41455.17</v>
      </c>
      <c r="D53" s="105">
        <f>C53*12</f>
        <v>497462.04</v>
      </c>
      <c r="E53" s="106" t="s">
        <v>314</v>
      </c>
    </row>
    <row r="54" spans="1:8" ht="25.5" customHeight="1" x14ac:dyDescent="0.3"/>
    <row r="55" spans="1:8" ht="21.75" customHeight="1" x14ac:dyDescent="0.3">
      <c r="A55" s="380" t="s">
        <v>315</v>
      </c>
      <c r="B55" s="380"/>
      <c r="C55" s="97"/>
      <c r="D55" s="97"/>
      <c r="E55" s="97"/>
      <c r="F55" s="97"/>
      <c r="G55" s="97"/>
      <c r="H55" s="97"/>
    </row>
    <row r="56" spans="1:8" ht="25.5" customHeight="1" x14ac:dyDescent="0.3">
      <c r="A56" s="386" t="s">
        <v>316</v>
      </c>
      <c r="B56" s="386"/>
      <c r="C56" s="386"/>
      <c r="D56" s="386"/>
      <c r="E56" s="386"/>
      <c r="F56" s="386"/>
      <c r="G56" s="386"/>
      <c r="H56" s="386"/>
    </row>
    <row r="57" spans="1:8" ht="15" customHeight="1" x14ac:dyDescent="0.3">
      <c r="A57" s="107"/>
      <c r="B57" s="107" t="s">
        <v>317</v>
      </c>
      <c r="C57" s="107" t="s">
        <v>318</v>
      </c>
      <c r="D57" s="107" t="s">
        <v>319</v>
      </c>
      <c r="E57" s="107" t="s">
        <v>320</v>
      </c>
      <c r="F57" s="107" t="s">
        <v>321</v>
      </c>
      <c r="G57" s="107" t="s">
        <v>322</v>
      </c>
      <c r="H57" s="107" t="s">
        <v>243</v>
      </c>
    </row>
    <row r="58" spans="1:8" ht="21.75" customHeight="1" x14ac:dyDescent="0.3">
      <c r="A58" s="387" t="s">
        <v>323</v>
      </c>
      <c r="B58" s="387"/>
      <c r="C58" s="387"/>
      <c r="D58" s="387"/>
      <c r="E58" s="387"/>
      <c r="F58" s="387"/>
      <c r="G58" s="387"/>
      <c r="H58" s="387"/>
    </row>
    <row r="59" spans="1:8" ht="19.5" customHeight="1" x14ac:dyDescent="0.3">
      <c r="A59" s="108" t="s">
        <v>323</v>
      </c>
      <c r="B59" s="109" t="s">
        <v>324</v>
      </c>
      <c r="C59" s="110" t="s">
        <v>325</v>
      </c>
      <c r="D59" s="111" t="s">
        <v>326</v>
      </c>
      <c r="E59" s="112">
        <v>48444.2</v>
      </c>
      <c r="F59" s="113">
        <f t="shared" ref="F59:F64" si="1">E15/1024</f>
        <v>37.358105468749997</v>
      </c>
      <c r="G59" s="109" t="s">
        <v>327</v>
      </c>
      <c r="H59" s="104" t="s">
        <v>328</v>
      </c>
    </row>
    <row r="60" spans="1:8" ht="24" customHeight="1" x14ac:dyDescent="0.3">
      <c r="A60" s="108" t="s">
        <v>323</v>
      </c>
      <c r="B60" s="109" t="s">
        <v>324</v>
      </c>
      <c r="C60" s="110" t="s">
        <v>329</v>
      </c>
      <c r="D60" s="111" t="s">
        <v>330</v>
      </c>
      <c r="E60" s="112">
        <v>373502</v>
      </c>
      <c r="F60" s="113">
        <f t="shared" si="1"/>
        <v>0</v>
      </c>
      <c r="G60" s="109" t="s">
        <v>327</v>
      </c>
      <c r="H60" s="104" t="s">
        <v>331</v>
      </c>
    </row>
    <row r="61" spans="1:8" ht="24" customHeight="1" x14ac:dyDescent="0.3">
      <c r="A61" s="114" t="s">
        <v>332</v>
      </c>
      <c r="B61" s="88" t="s">
        <v>333</v>
      </c>
      <c r="C61" s="24" t="s">
        <v>334</v>
      </c>
      <c r="D61" s="115" t="s">
        <v>335</v>
      </c>
      <c r="E61" s="112">
        <v>221472.95</v>
      </c>
      <c r="F61" s="116">
        <f t="shared" si="1"/>
        <v>0</v>
      </c>
      <c r="G61" s="88" t="s">
        <v>336</v>
      </c>
      <c r="H61" s="89" t="s">
        <v>337</v>
      </c>
    </row>
    <row r="62" spans="1:8" ht="24" customHeight="1" x14ac:dyDescent="0.3">
      <c r="A62" s="114" t="s">
        <v>332</v>
      </c>
      <c r="B62" s="88" t="s">
        <v>333</v>
      </c>
      <c r="C62" s="24" t="s">
        <v>338</v>
      </c>
      <c r="D62" s="115" t="s">
        <v>339</v>
      </c>
      <c r="E62" s="112">
        <v>72998.02</v>
      </c>
      <c r="F62" s="116">
        <f t="shared" si="1"/>
        <v>0</v>
      </c>
      <c r="G62" s="88" t="s">
        <v>336</v>
      </c>
      <c r="H62" s="89" t="s">
        <v>340</v>
      </c>
    </row>
    <row r="63" spans="1:8" ht="24" customHeight="1" x14ac:dyDescent="0.3">
      <c r="A63" s="114" t="s">
        <v>332</v>
      </c>
      <c r="B63" s="88" t="s">
        <v>333</v>
      </c>
      <c r="C63" s="24" t="s">
        <v>341</v>
      </c>
      <c r="D63" s="115" t="s">
        <v>342</v>
      </c>
      <c r="E63" s="112">
        <v>538</v>
      </c>
      <c r="F63" s="116">
        <f t="shared" si="1"/>
        <v>0</v>
      </c>
      <c r="G63" s="88" t="s">
        <v>336</v>
      </c>
      <c r="H63" s="89" t="s">
        <v>343</v>
      </c>
    </row>
    <row r="64" spans="1:8" ht="24" customHeight="1" x14ac:dyDescent="0.3">
      <c r="B64" s="117" t="s">
        <v>344</v>
      </c>
      <c r="E64" s="118">
        <f>SUM(D14:D16)</f>
        <v>994757.74600000004</v>
      </c>
      <c r="F64" s="119">
        <f t="shared" si="1"/>
        <v>37.358105468749997</v>
      </c>
      <c r="G64" s="120" t="s">
        <v>345</v>
      </c>
    </row>
    <row r="65" spans="1:8" ht="24" customHeight="1" x14ac:dyDescent="0.3">
      <c r="B65" s="121" t="s">
        <v>346</v>
      </c>
      <c r="E65" s="122">
        <f>SUM(D17:D19)</f>
        <v>1424576.276262</v>
      </c>
      <c r="F65" s="123">
        <f>E65/1024</f>
        <v>1391.1877697871093</v>
      </c>
      <c r="G65" s="124" t="s">
        <v>347</v>
      </c>
    </row>
    <row r="67" spans="1:8" ht="21.75" customHeight="1" x14ac:dyDescent="0.3">
      <c r="A67" s="5" t="s">
        <v>348</v>
      </c>
      <c r="B67" s="5"/>
      <c r="C67" s="5"/>
      <c r="D67" s="5"/>
      <c r="E67" s="5"/>
      <c r="F67" s="5"/>
      <c r="G67" s="5"/>
      <c r="H67" s="5"/>
    </row>
    <row r="68" spans="1:8" ht="19.5" customHeight="1" x14ac:dyDescent="0.3">
      <c r="A68" s="125" t="s">
        <v>349</v>
      </c>
      <c r="B68" s="97"/>
      <c r="C68" s="97"/>
      <c r="D68" s="97"/>
      <c r="E68" s="97"/>
      <c r="F68" s="97"/>
      <c r="G68" s="97"/>
      <c r="H68" s="97"/>
    </row>
    <row r="69" spans="1:8" ht="30" customHeight="1" x14ac:dyDescent="0.3">
      <c r="A69" s="30" t="s">
        <v>3</v>
      </c>
      <c r="B69" s="30" t="s">
        <v>350</v>
      </c>
      <c r="C69" s="30" t="s">
        <v>351</v>
      </c>
      <c r="D69" s="30" t="s">
        <v>352</v>
      </c>
      <c r="E69" s="30" t="s">
        <v>353</v>
      </c>
      <c r="F69" s="30" t="s">
        <v>243</v>
      </c>
    </row>
    <row r="70" spans="1:8" ht="30" customHeight="1" x14ac:dyDescent="0.3">
      <c r="A70" s="30" t="s">
        <v>7</v>
      </c>
      <c r="B70" s="98" t="s">
        <v>354</v>
      </c>
      <c r="C70" s="126" t="s">
        <v>355</v>
      </c>
      <c r="D70" s="49">
        <v>6293</v>
      </c>
      <c r="E70" s="127">
        <f t="shared" ref="E70:E83" si="2">D70</f>
        <v>6293</v>
      </c>
      <c r="F70" s="128" t="s">
        <v>356</v>
      </c>
    </row>
    <row r="71" spans="1:8" ht="30" customHeight="1" x14ac:dyDescent="0.3">
      <c r="A71" s="30" t="s">
        <v>11</v>
      </c>
      <c r="B71" s="98" t="s">
        <v>357</v>
      </c>
      <c r="C71" s="126" t="s">
        <v>355</v>
      </c>
      <c r="D71" s="49">
        <v>17896</v>
      </c>
      <c r="E71" s="127">
        <f t="shared" si="2"/>
        <v>17896</v>
      </c>
      <c r="F71" s="128" t="s">
        <v>358</v>
      </c>
    </row>
    <row r="72" spans="1:8" ht="30" customHeight="1" x14ac:dyDescent="0.3">
      <c r="A72" s="30" t="s">
        <v>15</v>
      </c>
      <c r="B72" s="98" t="s">
        <v>359</v>
      </c>
      <c r="C72" s="126" t="s">
        <v>355</v>
      </c>
      <c r="D72" s="49">
        <v>3967</v>
      </c>
      <c r="E72" s="127">
        <f t="shared" si="2"/>
        <v>3967</v>
      </c>
      <c r="F72" s="128" t="s">
        <v>360</v>
      </c>
    </row>
    <row r="73" spans="1:8" ht="30" customHeight="1" x14ac:dyDescent="0.3">
      <c r="A73" s="30" t="s">
        <v>19</v>
      </c>
      <c r="B73" s="98" t="s">
        <v>361</v>
      </c>
      <c r="C73" s="126" t="s">
        <v>355</v>
      </c>
      <c r="D73" s="49">
        <v>121</v>
      </c>
      <c r="E73" s="127">
        <f t="shared" si="2"/>
        <v>121</v>
      </c>
      <c r="F73" s="128" t="s">
        <v>362</v>
      </c>
    </row>
    <row r="74" spans="1:8" ht="30" customHeight="1" x14ac:dyDescent="0.3">
      <c r="A74" s="30" t="s">
        <v>23</v>
      </c>
      <c r="B74" s="98" t="s">
        <v>363</v>
      </c>
      <c r="C74" s="126" t="s">
        <v>355</v>
      </c>
      <c r="D74" s="49">
        <v>1000</v>
      </c>
      <c r="E74" s="127">
        <f t="shared" si="2"/>
        <v>1000</v>
      </c>
      <c r="F74" s="128" t="s">
        <v>364</v>
      </c>
    </row>
    <row r="75" spans="1:8" ht="30" customHeight="1" x14ac:dyDescent="0.3">
      <c r="A75" s="30" t="s">
        <v>27</v>
      </c>
      <c r="B75" s="98" t="s">
        <v>365</v>
      </c>
      <c r="C75" s="126" t="s">
        <v>355</v>
      </c>
      <c r="D75" s="49">
        <v>1500</v>
      </c>
      <c r="E75" s="127">
        <f t="shared" si="2"/>
        <v>1500</v>
      </c>
      <c r="F75" s="128" t="s">
        <v>366</v>
      </c>
    </row>
    <row r="76" spans="1:8" ht="27.75" customHeight="1" x14ac:dyDescent="0.3">
      <c r="A76" s="30" t="s">
        <v>31</v>
      </c>
      <c r="B76" s="98" t="s">
        <v>367</v>
      </c>
      <c r="C76" s="126" t="s">
        <v>355</v>
      </c>
      <c r="D76" s="49">
        <v>4000</v>
      </c>
      <c r="E76" s="127">
        <f t="shared" si="2"/>
        <v>4000</v>
      </c>
      <c r="F76" s="128" t="s">
        <v>368</v>
      </c>
    </row>
    <row r="77" spans="1:8" ht="18.75" customHeight="1" x14ac:dyDescent="0.3">
      <c r="A77" s="30" t="s">
        <v>35</v>
      </c>
      <c r="B77" s="18" t="s">
        <v>369</v>
      </c>
      <c r="C77" s="126" t="s">
        <v>355</v>
      </c>
      <c r="D77" s="129">
        <f>SUM(D70:D76)*0.1</f>
        <v>3477.7000000000003</v>
      </c>
      <c r="E77" s="127">
        <f t="shared" si="2"/>
        <v>3477.7000000000003</v>
      </c>
      <c r="F77" s="128" t="s">
        <v>370</v>
      </c>
    </row>
    <row r="78" spans="1:8" ht="45.75" customHeight="1" x14ac:dyDescent="0.3">
      <c r="A78" s="107" t="s">
        <v>371</v>
      </c>
      <c r="B78" s="110" t="s">
        <v>372</v>
      </c>
      <c r="C78" s="130" t="s">
        <v>373</v>
      </c>
      <c r="D78" s="49">
        <v>49728</v>
      </c>
      <c r="E78" s="131">
        <f t="shared" si="2"/>
        <v>49728</v>
      </c>
      <c r="F78" s="111" t="s">
        <v>374</v>
      </c>
    </row>
    <row r="79" spans="1:8" ht="36.75" customHeight="1" x14ac:dyDescent="0.3">
      <c r="A79" s="107" t="s">
        <v>375</v>
      </c>
      <c r="B79" s="110" t="s">
        <v>376</v>
      </c>
      <c r="C79" s="130" t="s">
        <v>373</v>
      </c>
      <c r="D79" s="49">
        <v>8288</v>
      </c>
      <c r="E79" s="131">
        <f t="shared" si="2"/>
        <v>8288</v>
      </c>
      <c r="F79" s="111" t="s">
        <v>377</v>
      </c>
    </row>
    <row r="80" spans="1:8" ht="45.75" customHeight="1" x14ac:dyDescent="0.3">
      <c r="A80" s="107" t="s">
        <v>378</v>
      </c>
      <c r="B80" s="110" t="s">
        <v>379</v>
      </c>
      <c r="C80" s="130" t="s">
        <v>373</v>
      </c>
      <c r="D80" s="49">
        <v>5000</v>
      </c>
      <c r="E80" s="131">
        <f t="shared" si="2"/>
        <v>5000</v>
      </c>
      <c r="F80" s="111" t="s">
        <v>380</v>
      </c>
    </row>
    <row r="81" spans="1:8" ht="63.75" customHeight="1" x14ac:dyDescent="0.3">
      <c r="A81" s="107" t="s">
        <v>381</v>
      </c>
      <c r="B81" s="110" t="s">
        <v>382</v>
      </c>
      <c r="C81" s="130" t="s">
        <v>373</v>
      </c>
      <c r="D81" s="49">
        <v>8000</v>
      </c>
      <c r="E81" s="131">
        <f t="shared" si="2"/>
        <v>8000</v>
      </c>
      <c r="F81" s="111" t="s">
        <v>383</v>
      </c>
    </row>
    <row r="82" spans="1:8" ht="36.75" customHeight="1" x14ac:dyDescent="0.3">
      <c r="A82" s="107" t="s">
        <v>384</v>
      </c>
      <c r="B82" s="110" t="s">
        <v>385</v>
      </c>
      <c r="C82" s="130" t="s">
        <v>373</v>
      </c>
      <c r="D82" s="49">
        <v>5000</v>
      </c>
      <c r="E82" s="131">
        <f t="shared" si="2"/>
        <v>5000</v>
      </c>
      <c r="F82" s="111" t="s">
        <v>386</v>
      </c>
    </row>
    <row r="83" spans="1:8" ht="21.75" customHeight="1" x14ac:dyDescent="0.3">
      <c r="A83" s="107" t="s">
        <v>387</v>
      </c>
      <c r="B83" s="132" t="s">
        <v>388</v>
      </c>
      <c r="C83" s="130" t="s">
        <v>373</v>
      </c>
      <c r="D83" s="133">
        <f>SUM(D78:D82)*0.1</f>
        <v>7601.6</v>
      </c>
      <c r="E83" s="131">
        <f t="shared" si="2"/>
        <v>7601.6</v>
      </c>
      <c r="F83" s="111" t="s">
        <v>389</v>
      </c>
    </row>
    <row r="84" spans="1:8" ht="147" customHeight="1" x14ac:dyDescent="0.3">
      <c r="A84" s="29" t="s">
        <v>390</v>
      </c>
      <c r="B84" s="97"/>
      <c r="D84" s="134">
        <f>SUM(D70:D77)</f>
        <v>38254.699999999997</v>
      </c>
    </row>
    <row r="85" spans="1:8" ht="147" customHeight="1" x14ac:dyDescent="0.3">
      <c r="A85" s="86" t="s">
        <v>391</v>
      </c>
      <c r="B85" s="97"/>
      <c r="D85" s="135">
        <f>SUM(D78:D83)</f>
        <v>83617.600000000006</v>
      </c>
    </row>
    <row r="86" spans="1:8" ht="180" customHeight="1" x14ac:dyDescent="0.3">
      <c r="A86" s="15" t="s">
        <v>392</v>
      </c>
      <c r="B86" s="97"/>
      <c r="D86" s="136">
        <f>D84+D85</f>
        <v>121872.3</v>
      </c>
      <c r="E86" s="106" t="s">
        <v>393</v>
      </c>
    </row>
    <row r="88" spans="1:8" ht="225" customHeight="1" x14ac:dyDescent="0.3">
      <c r="A88" s="46" t="s">
        <v>394</v>
      </c>
      <c r="B88" s="97"/>
      <c r="C88" s="97"/>
      <c r="D88" s="97"/>
      <c r="E88" s="97"/>
      <c r="F88" s="97"/>
      <c r="G88" s="97"/>
      <c r="H88" s="97"/>
    </row>
    <row r="89" spans="1:8" ht="409.6" customHeight="1" x14ac:dyDescent="0.3">
      <c r="A89" s="137" t="s">
        <v>395</v>
      </c>
      <c r="B89" s="97"/>
      <c r="C89" s="97"/>
      <c r="D89" s="97"/>
      <c r="E89" s="97"/>
      <c r="F89" s="97"/>
      <c r="G89" s="97"/>
      <c r="H89" s="97"/>
    </row>
    <row r="90" spans="1:8" ht="15" customHeight="1" x14ac:dyDescent="0.3">
      <c r="A90" s="47" t="s">
        <v>3</v>
      </c>
      <c r="B90" s="47" t="s">
        <v>396</v>
      </c>
      <c r="C90" s="47" t="s">
        <v>302</v>
      </c>
      <c r="D90" s="47" t="s">
        <v>303</v>
      </c>
      <c r="E90" s="47" t="s">
        <v>397</v>
      </c>
      <c r="F90" s="47" t="s">
        <v>243</v>
      </c>
    </row>
    <row r="91" spans="1:8" ht="45.75" customHeight="1" x14ac:dyDescent="0.3">
      <c r="A91" s="47" t="s">
        <v>398</v>
      </c>
      <c r="B91" s="24" t="s">
        <v>399</v>
      </c>
      <c r="C91" s="99">
        <v>997.84</v>
      </c>
      <c r="D91" s="138">
        <f>C91*12</f>
        <v>11974.08</v>
      </c>
      <c r="E91" s="87" t="s">
        <v>400</v>
      </c>
      <c r="F91" s="89" t="s">
        <v>401</v>
      </c>
    </row>
    <row r="92" spans="1:8" ht="36.75" customHeight="1" x14ac:dyDescent="0.3">
      <c r="A92" s="47" t="s">
        <v>402</v>
      </c>
      <c r="B92" s="24" t="s">
        <v>403</v>
      </c>
      <c r="C92" s="99">
        <v>390</v>
      </c>
      <c r="D92" s="138">
        <f>C92*12</f>
        <v>4680</v>
      </c>
      <c r="E92" s="87" t="s">
        <v>400</v>
      </c>
      <c r="F92" s="89" t="s">
        <v>404</v>
      </c>
    </row>
    <row r="93" spans="1:8" ht="21.75" customHeight="1" x14ac:dyDescent="0.3">
      <c r="A93" s="47" t="s">
        <v>405</v>
      </c>
      <c r="B93" s="24" t="s">
        <v>406</v>
      </c>
      <c r="C93" s="99">
        <v>238</v>
      </c>
      <c r="D93" s="138">
        <f>C93*12</f>
        <v>2856</v>
      </c>
      <c r="E93" s="87" t="s">
        <v>400</v>
      </c>
      <c r="F93" s="89" t="s">
        <v>407</v>
      </c>
    </row>
    <row r="94" spans="1:8" ht="72.75" customHeight="1" x14ac:dyDescent="0.3">
      <c r="A94" s="107" t="s">
        <v>408</v>
      </c>
      <c r="B94" s="139" t="s">
        <v>409</v>
      </c>
      <c r="C94" s="140" t="s">
        <v>410</v>
      </c>
      <c r="D94" s="141" t="s">
        <v>410</v>
      </c>
      <c r="E94" s="142" t="s">
        <v>411</v>
      </c>
      <c r="F94" s="104" t="s">
        <v>412</v>
      </c>
    </row>
    <row r="95" spans="1:8" ht="72.75" customHeight="1" x14ac:dyDescent="0.3">
      <c r="A95" s="107" t="s">
        <v>413</v>
      </c>
      <c r="B95" s="139" t="s">
        <v>414</v>
      </c>
      <c r="C95" s="140" t="s">
        <v>410</v>
      </c>
      <c r="D95" s="141" t="s">
        <v>410</v>
      </c>
      <c r="E95" s="142" t="s">
        <v>411</v>
      </c>
      <c r="F95" s="104" t="s">
        <v>415</v>
      </c>
    </row>
    <row r="96" spans="1:8" ht="36.75" customHeight="1" x14ac:dyDescent="0.3">
      <c r="A96" s="47" t="s">
        <v>416</v>
      </c>
      <c r="B96" s="143" t="s">
        <v>417</v>
      </c>
      <c r="C96" s="144" t="s">
        <v>418</v>
      </c>
      <c r="D96" s="145" t="s">
        <v>418</v>
      </c>
      <c r="E96" s="88" t="s">
        <v>419</v>
      </c>
      <c r="F96" s="89" t="s">
        <v>420</v>
      </c>
    </row>
    <row r="97" spans="1:8" ht="36.75" customHeight="1" x14ac:dyDescent="0.3">
      <c r="A97" s="47" t="s">
        <v>421</v>
      </c>
      <c r="B97" s="143" t="s">
        <v>422</v>
      </c>
      <c r="C97" s="144" t="s">
        <v>418</v>
      </c>
      <c r="D97" s="145" t="s">
        <v>418</v>
      </c>
      <c r="E97" s="88" t="s">
        <v>423</v>
      </c>
      <c r="F97" s="89" t="s">
        <v>424</v>
      </c>
    </row>
    <row r="98" spans="1:8" ht="32.25" customHeight="1" x14ac:dyDescent="0.3">
      <c r="A98" s="47" t="s">
        <v>425</v>
      </c>
      <c r="B98" s="143" t="s">
        <v>426</v>
      </c>
      <c r="C98" s="144" t="s">
        <v>418</v>
      </c>
      <c r="D98" s="145" t="s">
        <v>418</v>
      </c>
      <c r="E98" s="88" t="s">
        <v>427</v>
      </c>
      <c r="F98" s="89" t="s">
        <v>428</v>
      </c>
    </row>
    <row r="99" spans="1:8" ht="157.5" customHeight="1" x14ac:dyDescent="0.3">
      <c r="A99" s="46" t="s">
        <v>429</v>
      </c>
      <c r="B99" s="97"/>
      <c r="C99" s="146">
        <f>SUM(C91:C93)</f>
        <v>1625.8400000000001</v>
      </c>
      <c r="D99" s="146">
        <f>C99*12</f>
        <v>19510.080000000002</v>
      </c>
      <c r="E99" s="147" t="s">
        <v>430</v>
      </c>
    </row>
    <row r="100" spans="1:8" ht="409.6" customHeight="1" x14ac:dyDescent="0.3">
      <c r="A100" s="148" t="s">
        <v>431</v>
      </c>
      <c r="B100" s="97"/>
      <c r="C100" s="97"/>
      <c r="D100" s="97"/>
      <c r="E100" s="97"/>
      <c r="F100" s="97"/>
      <c r="G100" s="97"/>
      <c r="H100" s="97"/>
    </row>
    <row r="102" spans="1:8" ht="157.5" customHeight="1" x14ac:dyDescent="0.3">
      <c r="A102" s="59" t="s">
        <v>432</v>
      </c>
      <c r="B102" s="97"/>
      <c r="C102" s="97"/>
      <c r="D102" s="97"/>
      <c r="E102" s="97"/>
      <c r="F102" s="97"/>
      <c r="G102" s="97"/>
      <c r="H102" s="97"/>
    </row>
    <row r="103" spans="1:8" ht="21.75" customHeight="1" x14ac:dyDescent="0.3">
      <c r="A103" s="61" t="s">
        <v>433</v>
      </c>
      <c r="B103" s="61" t="s">
        <v>434</v>
      </c>
      <c r="C103" s="61" t="s">
        <v>435</v>
      </c>
      <c r="D103" s="61" t="s">
        <v>436</v>
      </c>
      <c r="E103" s="61" t="s">
        <v>437</v>
      </c>
      <c r="F103" s="61" t="s">
        <v>243</v>
      </c>
    </row>
    <row r="104" spans="1:8" ht="53.25" customHeight="1" x14ac:dyDescent="0.3">
      <c r="A104" s="149" t="s">
        <v>438</v>
      </c>
      <c r="B104" s="150">
        <f>C9-C7-C8</f>
        <v>0</v>
      </c>
      <c r="C104" s="151" t="s">
        <v>418</v>
      </c>
      <c r="D104" s="152" t="s">
        <v>418</v>
      </c>
      <c r="E104" s="153" t="s">
        <v>439</v>
      </c>
      <c r="F104" s="154" t="s">
        <v>440</v>
      </c>
    </row>
    <row r="105" spans="1:8" ht="53.25" customHeight="1" x14ac:dyDescent="0.3">
      <c r="A105" s="69" t="s">
        <v>441</v>
      </c>
      <c r="B105" s="155">
        <f>C8</f>
        <v>0</v>
      </c>
      <c r="C105" s="156" t="s">
        <v>418</v>
      </c>
      <c r="D105" s="157" t="s">
        <v>418</v>
      </c>
      <c r="E105" s="158" t="s">
        <v>439</v>
      </c>
      <c r="F105" s="75" t="s">
        <v>442</v>
      </c>
    </row>
    <row r="106" spans="1:8" ht="27.75" customHeight="1" x14ac:dyDescent="0.3">
      <c r="A106" s="149" t="s">
        <v>443</v>
      </c>
      <c r="B106" s="150">
        <f>C7+C8-C9+C9</f>
        <v>0</v>
      </c>
      <c r="C106" s="151" t="s">
        <v>418</v>
      </c>
      <c r="D106" s="159" t="s">
        <v>410</v>
      </c>
      <c r="E106" s="159" t="s">
        <v>444</v>
      </c>
      <c r="F106" s="154" t="s">
        <v>445</v>
      </c>
    </row>
    <row r="107" spans="1:8" ht="63.75" customHeight="1" x14ac:dyDescent="0.3">
      <c r="A107" s="69" t="s">
        <v>446</v>
      </c>
      <c r="B107" s="160" t="s">
        <v>418</v>
      </c>
      <c r="C107" s="161">
        <f>C55</f>
        <v>0</v>
      </c>
      <c r="D107" s="157" t="s">
        <v>447</v>
      </c>
      <c r="E107" s="162" t="s">
        <v>448</v>
      </c>
      <c r="F107" s="75" t="s">
        <v>449</v>
      </c>
    </row>
    <row r="108" spans="1:8" ht="63.75" customHeight="1" x14ac:dyDescent="0.3">
      <c r="A108" s="149" t="s">
        <v>450</v>
      </c>
      <c r="B108" s="163" t="s">
        <v>418</v>
      </c>
      <c r="C108" s="151" t="s">
        <v>447</v>
      </c>
      <c r="D108" s="159" t="s">
        <v>410</v>
      </c>
      <c r="E108" s="159" t="s">
        <v>410</v>
      </c>
      <c r="F108" s="154" t="s">
        <v>451</v>
      </c>
    </row>
    <row r="109" spans="1:8" ht="21.75" customHeight="1" x14ac:dyDescent="0.3">
      <c r="A109" s="78" t="s">
        <v>452</v>
      </c>
      <c r="B109" s="164">
        <f>C9</f>
        <v>0</v>
      </c>
      <c r="C109" s="165">
        <f>C55</f>
        <v>0</v>
      </c>
      <c r="D109" s="166" t="s">
        <v>410</v>
      </c>
      <c r="E109" s="166" t="s">
        <v>410</v>
      </c>
      <c r="F109" s="85" t="s">
        <v>453</v>
      </c>
    </row>
    <row r="111" spans="1:8" ht="124.5" customHeight="1" x14ac:dyDescent="0.3">
      <c r="A111" s="41" t="s">
        <v>454</v>
      </c>
      <c r="B111" s="97"/>
      <c r="C111" s="97"/>
      <c r="D111" s="97"/>
      <c r="E111" s="97"/>
      <c r="F111" s="97"/>
      <c r="G111" s="97"/>
      <c r="H111" s="97"/>
    </row>
    <row r="112" spans="1:8" ht="21.75" customHeight="1" x14ac:dyDescent="0.3">
      <c r="A112" s="42" t="s">
        <v>455</v>
      </c>
      <c r="B112" s="42" t="s">
        <v>456</v>
      </c>
      <c r="C112" s="42" t="s">
        <v>457</v>
      </c>
      <c r="D112" s="42" t="s">
        <v>458</v>
      </c>
      <c r="E112" s="42" t="s">
        <v>459</v>
      </c>
      <c r="F112" s="42" t="s">
        <v>397</v>
      </c>
    </row>
    <row r="113" spans="1:6" ht="36.75" customHeight="1" x14ac:dyDescent="0.3">
      <c r="A113" s="167" t="s">
        <v>460</v>
      </c>
      <c r="B113" s="168" t="s">
        <v>461</v>
      </c>
      <c r="C113" s="45" t="s">
        <v>462</v>
      </c>
      <c r="D113" s="94" t="s">
        <v>463</v>
      </c>
      <c r="E113" s="169" t="s">
        <v>464</v>
      </c>
      <c r="F113" s="170" t="s">
        <v>465</v>
      </c>
    </row>
    <row r="114" spans="1:6" ht="45.75" customHeight="1" x14ac:dyDescent="0.3">
      <c r="A114" s="167" t="s">
        <v>460</v>
      </c>
      <c r="B114" s="168" t="s">
        <v>466</v>
      </c>
      <c r="C114" s="45" t="s">
        <v>467</v>
      </c>
      <c r="D114" s="94" t="s">
        <v>468</v>
      </c>
      <c r="E114" s="169" t="s">
        <v>469</v>
      </c>
      <c r="F114" s="170" t="s">
        <v>465</v>
      </c>
    </row>
    <row r="115" spans="1:6" ht="36.75" customHeight="1" x14ac:dyDescent="0.3">
      <c r="A115" s="167" t="s">
        <v>460</v>
      </c>
      <c r="B115" s="168" t="s">
        <v>470</v>
      </c>
      <c r="C115" s="45" t="s">
        <v>471</v>
      </c>
      <c r="D115" s="94" t="s">
        <v>463</v>
      </c>
      <c r="E115" s="169" t="s">
        <v>472</v>
      </c>
      <c r="F115" s="170" t="s">
        <v>465</v>
      </c>
    </row>
    <row r="116" spans="1:6" ht="36.75" customHeight="1" x14ac:dyDescent="0.3">
      <c r="A116" s="102" t="s">
        <v>473</v>
      </c>
      <c r="B116" s="110" t="s">
        <v>474</v>
      </c>
      <c r="C116" s="171" t="s">
        <v>475</v>
      </c>
      <c r="D116" s="172" t="s">
        <v>476</v>
      </c>
      <c r="E116" s="173" t="s">
        <v>477</v>
      </c>
      <c r="F116" s="170" t="s">
        <v>465</v>
      </c>
    </row>
    <row r="117" spans="1:6" ht="36.75" customHeight="1" x14ac:dyDescent="0.3">
      <c r="A117" s="102" t="s">
        <v>478</v>
      </c>
      <c r="B117" s="110" t="s">
        <v>479</v>
      </c>
      <c r="C117" s="171" t="s">
        <v>480</v>
      </c>
      <c r="D117" s="172" t="s">
        <v>481</v>
      </c>
      <c r="E117" s="173" t="s">
        <v>482</v>
      </c>
      <c r="F117" s="170" t="s">
        <v>465</v>
      </c>
    </row>
    <row r="118" spans="1:6" ht="45.75" customHeight="1" x14ac:dyDescent="0.3">
      <c r="A118" s="102" t="s">
        <v>478</v>
      </c>
      <c r="B118" s="110" t="s">
        <v>483</v>
      </c>
      <c r="C118" s="171" t="s">
        <v>484</v>
      </c>
      <c r="D118" s="172" t="s">
        <v>476</v>
      </c>
      <c r="E118" s="173" t="s">
        <v>485</v>
      </c>
      <c r="F118" s="170" t="s">
        <v>465</v>
      </c>
    </row>
    <row r="119" spans="1:6" ht="45.75" customHeight="1" x14ac:dyDescent="0.3">
      <c r="A119" s="25" t="s">
        <v>486</v>
      </c>
      <c r="B119" s="24" t="s">
        <v>487</v>
      </c>
      <c r="C119" s="40" t="s">
        <v>480</v>
      </c>
      <c r="D119" s="87" t="s">
        <v>488</v>
      </c>
      <c r="E119" s="174" t="s">
        <v>489</v>
      </c>
      <c r="F119" s="170" t="s">
        <v>490</v>
      </c>
    </row>
  </sheetData>
  <mergeCells count="32">
    <mergeCell ref="A56:H56"/>
    <mergeCell ref="A58:H58"/>
    <mergeCell ref="A67:H67"/>
    <mergeCell ref="A41:B41"/>
    <mergeCell ref="A42:B42"/>
    <mergeCell ref="A44:H44"/>
    <mergeCell ref="A45:H45"/>
    <mergeCell ref="A55:B55"/>
    <mergeCell ref="A23:H23"/>
    <mergeCell ref="A24:H24"/>
    <mergeCell ref="A32:H32"/>
    <mergeCell ref="A33:H33"/>
    <mergeCell ref="A40:B40"/>
    <mergeCell ref="A9:B9"/>
    <mergeCell ref="E9:H9"/>
    <mergeCell ref="A11:H11"/>
    <mergeCell ref="A12:H12"/>
    <mergeCell ref="A21:B21"/>
    <mergeCell ref="C21:D21"/>
    <mergeCell ref="E21:H21"/>
    <mergeCell ref="A6:B6"/>
    <mergeCell ref="C6:D6"/>
    <mergeCell ref="E6:F6"/>
    <mergeCell ref="G6:H6"/>
    <mergeCell ref="A8:H8"/>
    <mergeCell ref="A1:H1"/>
    <mergeCell ref="A2:H2"/>
    <mergeCell ref="A4:H4"/>
    <mergeCell ref="A5:B5"/>
    <mergeCell ref="C5:D5"/>
    <mergeCell ref="E5:F5"/>
    <mergeCell ref="G5:H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5"/>
  <sheetViews>
    <sheetView showGridLines="0" topLeftCell="A6" zoomScaleNormal="100" workbookViewId="0">
      <selection activeCell="D5" sqref="D5:F5"/>
    </sheetView>
  </sheetViews>
  <sheetFormatPr defaultColWidth="8.6640625" defaultRowHeight="14.4" x14ac:dyDescent="0.3"/>
  <cols>
    <col min="1" max="1" width="22" customWidth="1"/>
    <col min="2" max="2" width="16" customWidth="1"/>
    <col min="3" max="3" width="13" customWidth="1"/>
    <col min="4" max="4" width="39.77734375" customWidth="1"/>
    <col min="5" max="5" width="16" customWidth="1"/>
    <col min="6" max="6" width="14" customWidth="1"/>
    <col min="7" max="7" width="37.21875" customWidth="1"/>
    <col min="8" max="8" width="36.109375" customWidth="1"/>
    <col min="9" max="12" width="22" customWidth="1"/>
  </cols>
  <sheetData>
    <row r="1" spans="1:12" ht="27.75" customHeight="1" x14ac:dyDescent="0.3">
      <c r="A1" s="7" t="s">
        <v>491</v>
      </c>
      <c r="B1" s="7"/>
      <c r="C1" s="7"/>
      <c r="D1" s="7"/>
      <c r="E1" s="7"/>
      <c r="F1" s="7"/>
      <c r="G1" s="7"/>
      <c r="H1" s="7"/>
      <c r="I1" s="7"/>
      <c r="J1" s="7"/>
      <c r="K1" s="7"/>
      <c r="L1" s="7"/>
    </row>
    <row r="2" spans="1:12" ht="13.5" customHeight="1" x14ac:dyDescent="0.3">
      <c r="A2" s="388" t="s">
        <v>492</v>
      </c>
      <c r="B2" s="388"/>
      <c r="C2" s="388"/>
      <c r="D2" s="388"/>
      <c r="E2" s="388"/>
      <c r="F2" s="388"/>
      <c r="G2" s="388"/>
      <c r="H2" s="388"/>
      <c r="I2" s="388"/>
      <c r="J2" s="388"/>
      <c r="K2" s="388"/>
      <c r="L2" s="388"/>
    </row>
    <row r="4" spans="1:12" ht="27.75" customHeight="1" x14ac:dyDescent="0.3">
      <c r="A4" s="389" t="s">
        <v>493</v>
      </c>
      <c r="B4" s="389"/>
      <c r="C4" s="389"/>
      <c r="D4" s="390" t="s">
        <v>494</v>
      </c>
      <c r="E4" s="390"/>
      <c r="F4" s="390"/>
      <c r="G4" s="391" t="s">
        <v>495</v>
      </c>
      <c r="H4" s="391"/>
      <c r="I4" s="391"/>
      <c r="J4" s="392" t="s">
        <v>496</v>
      </c>
      <c r="K4" s="392"/>
      <c r="L4" s="392"/>
    </row>
    <row r="5" spans="1:12" ht="33.75" customHeight="1" x14ac:dyDescent="0.3">
      <c r="A5" s="393">
        <f>Assumptions!C66</f>
        <v>29455.17</v>
      </c>
      <c r="B5" s="393"/>
      <c r="C5" s="393"/>
      <c r="D5" s="394">
        <f>'Cost Comparison'!B39</f>
        <v>4496.0457703526999</v>
      </c>
      <c r="E5" s="394"/>
      <c r="F5" s="394"/>
      <c r="G5" s="395">
        <f>Assumptions!C66-'Cost Comparison'!B39</f>
        <v>24959.124229647299</v>
      </c>
      <c r="H5" s="395"/>
      <c r="I5" s="395"/>
      <c r="J5" s="396">
        <f>'Migration Plan &amp; Costs'!C60</f>
        <v>121370.23417263363</v>
      </c>
      <c r="K5" s="396"/>
      <c r="L5" s="396"/>
    </row>
    <row r="6" spans="1:12" ht="36" customHeight="1" x14ac:dyDescent="0.3">
      <c r="A6" s="397" t="str">
        <f>"$"&amp;TEXT(Assumptions!C66*12,"#,##0")&amp;"/yr  |  HubStor $26,455 storage + Backup $3,000  |  1,042 TiB  |  5 regions"</f>
        <v>$353,462/yr  |  HubStor $26,455 storage + Backup $3,000  |  1,042 TiB  |  5 regions</v>
      </c>
      <c r="B6" s="397"/>
      <c r="C6" s="397"/>
      <c r="D6" s="398" t="str">
        <f>"$"&amp;TEXT('Cost Comparison'!B39*12,"#,##0")&amp;"/yr  |  S3 storage + Gateway appliance + all ops"</f>
        <v>$53,953/yr  |  S3 storage + Gateway appliance + all ops</v>
      </c>
      <c r="E6" s="398"/>
      <c r="F6" s="398"/>
      <c r="G6" s="399" t="str">
        <f>"$"&amp;TEXT((Assumptions!C66-'Cost Comparison'!B39)*12,"#,##0")&amp;"/yr saved  |  79.0% cost reduction"</f>
        <v>$299,509/yr saved  |  79.0% cost reduction</v>
      </c>
      <c r="H6" s="399"/>
      <c r="I6" s="399"/>
      <c r="J6" s="400" t="str">
        <f>"Payback: ~"&amp;TEXT(('Migration Plan &amp; Costs'!B60+'Financial Model (Jun26-Dec30)'!B11)/( Assumptions!C66-'Cost Comparison'!B39),"0.0")&amp;" months from Jan 2027"</f>
        <v>Payback: ~5.7 months from Jan 2027</v>
      </c>
      <c r="K6" s="400"/>
      <c r="L6" s="400"/>
    </row>
    <row r="7" spans="1:12" ht="6" customHeight="1" x14ac:dyDescent="0.3"/>
    <row r="8" spans="1:12" ht="18" customHeight="1" x14ac:dyDescent="0.3">
      <c r="A8" s="12" t="s">
        <v>497</v>
      </c>
      <c r="B8" s="12"/>
      <c r="C8" s="12"/>
      <c r="D8" s="12"/>
      <c r="E8" s="12"/>
      <c r="F8" s="12"/>
      <c r="G8" s="12"/>
    </row>
    <row r="9" spans="1:12" ht="27.75" customHeight="1" x14ac:dyDescent="0.3">
      <c r="A9" s="16" t="s">
        <v>318</v>
      </c>
      <c r="B9" s="16" t="s">
        <v>498</v>
      </c>
      <c r="C9" s="16" t="s">
        <v>499</v>
      </c>
      <c r="D9" s="16" t="s">
        <v>500</v>
      </c>
      <c r="E9" s="16" t="s">
        <v>501</v>
      </c>
      <c r="F9" s="16" t="s">
        <v>502</v>
      </c>
      <c r="G9" s="16" t="s">
        <v>503</v>
      </c>
      <c r="H9" s="30"/>
      <c r="I9" s="30"/>
      <c r="J9" s="30"/>
      <c r="K9" s="30"/>
    </row>
    <row r="10" spans="1:12" ht="15.75" customHeight="1" x14ac:dyDescent="0.3">
      <c r="A10" s="176" t="s">
        <v>504</v>
      </c>
      <c r="B10" s="62" t="s">
        <v>505</v>
      </c>
      <c r="C10" s="177">
        <v>221472.95</v>
      </c>
      <c r="D10" s="178" t="s">
        <v>506</v>
      </c>
      <c r="E10" s="179">
        <v>5798.59</v>
      </c>
      <c r="F10" s="180">
        <f>E10</f>
        <v>5798.59</v>
      </c>
      <c r="G10" s="180">
        <f>E10</f>
        <v>5798.59</v>
      </c>
      <c r="H10" s="178" t="s">
        <v>507</v>
      </c>
    </row>
    <row r="11" spans="1:12" ht="15.75" customHeight="1" x14ac:dyDescent="0.3">
      <c r="A11" s="181" t="s">
        <v>508</v>
      </c>
      <c r="B11" s="69" t="s">
        <v>509</v>
      </c>
      <c r="C11" s="182">
        <v>48444.2</v>
      </c>
      <c r="D11" s="183" t="s">
        <v>506</v>
      </c>
      <c r="E11" s="179">
        <v>1337.27</v>
      </c>
      <c r="F11" s="180">
        <f>E11</f>
        <v>1337.27</v>
      </c>
      <c r="G11" s="180">
        <f>E11</f>
        <v>1337.27</v>
      </c>
      <c r="H11" s="183" t="s">
        <v>507</v>
      </c>
    </row>
    <row r="12" spans="1:12" ht="15.75" customHeight="1" x14ac:dyDescent="0.3">
      <c r="A12" s="176" t="s">
        <v>510</v>
      </c>
      <c r="B12" s="62" t="s">
        <v>511</v>
      </c>
      <c r="C12" s="177">
        <v>374040.18</v>
      </c>
      <c r="D12" s="178" t="s">
        <v>506</v>
      </c>
      <c r="E12" s="179">
        <v>9432.17</v>
      </c>
      <c r="F12" s="180">
        <f>E12</f>
        <v>9432.17</v>
      </c>
      <c r="G12" s="180">
        <f>E12</f>
        <v>9432.17</v>
      </c>
      <c r="H12" s="178" t="s">
        <v>507</v>
      </c>
    </row>
    <row r="13" spans="1:12" ht="15.75" customHeight="1" x14ac:dyDescent="0.3">
      <c r="A13" s="181" t="s">
        <v>512</v>
      </c>
      <c r="B13" s="69" t="s">
        <v>513</v>
      </c>
      <c r="C13" s="182">
        <v>349749.29</v>
      </c>
      <c r="D13" s="183" t="s">
        <v>506</v>
      </c>
      <c r="E13" s="179">
        <v>8299.36</v>
      </c>
      <c r="F13" s="180">
        <f>E13</f>
        <v>8299.36</v>
      </c>
      <c r="G13" s="180">
        <f>E13</f>
        <v>8299.36</v>
      </c>
      <c r="H13" s="183" t="s">
        <v>507</v>
      </c>
    </row>
    <row r="14" spans="1:12" ht="15.75" customHeight="1" x14ac:dyDescent="0.3">
      <c r="A14" s="176" t="s">
        <v>514</v>
      </c>
      <c r="B14" s="62" t="s">
        <v>515</v>
      </c>
      <c r="C14" s="177">
        <v>72998.02</v>
      </c>
      <c r="D14" s="178" t="s">
        <v>506</v>
      </c>
      <c r="E14" s="179">
        <v>1587.78</v>
      </c>
      <c r="F14" s="180">
        <f>E14</f>
        <v>1587.78</v>
      </c>
      <c r="G14" s="180">
        <f>E14</f>
        <v>1587.78</v>
      </c>
      <c r="H14" s="178" t="s">
        <v>507</v>
      </c>
    </row>
    <row r="15" spans="1:12" ht="19.5" customHeight="1" x14ac:dyDescent="0.3">
      <c r="A15" s="184" t="s">
        <v>516</v>
      </c>
      <c r="B15" s="184" t="s">
        <v>517</v>
      </c>
      <c r="C15" s="185">
        <f>SUM(C10:C14)</f>
        <v>1066704.6400000001</v>
      </c>
      <c r="D15" s="186" t="s">
        <v>518</v>
      </c>
      <c r="E15" s="56">
        <f>SUM(E10:E14)</f>
        <v>26455.17</v>
      </c>
      <c r="F15" s="56">
        <f>SUM(F10:F14)</f>
        <v>26455.17</v>
      </c>
      <c r="G15" s="186" t="s">
        <v>519</v>
      </c>
      <c r="H15" s="186" t="s">
        <v>520</v>
      </c>
      <c r="I15" s="187"/>
      <c r="J15" s="187"/>
      <c r="K15" s="187"/>
    </row>
    <row r="17" spans="1:12" ht="18" customHeight="1" x14ac:dyDescent="0.3">
      <c r="A17" s="12" t="s">
        <v>521</v>
      </c>
      <c r="B17" s="12"/>
      <c r="C17" s="12"/>
      <c r="D17" s="12"/>
      <c r="E17" s="12"/>
      <c r="F17" s="12"/>
      <c r="G17" s="12"/>
      <c r="H17" s="12"/>
      <c r="I17" s="12"/>
      <c r="J17" s="12"/>
      <c r="K17" s="12"/>
      <c r="L17" s="12"/>
    </row>
    <row r="18" spans="1:12" ht="24" customHeight="1" x14ac:dyDescent="0.3">
      <c r="A18" s="16" t="s">
        <v>522</v>
      </c>
      <c r="B18" s="16" t="s">
        <v>523</v>
      </c>
      <c r="C18" s="16" t="s">
        <v>524</v>
      </c>
      <c r="D18" s="16" t="s">
        <v>525</v>
      </c>
      <c r="E18" s="16" t="s">
        <v>526</v>
      </c>
      <c r="F18" s="188"/>
      <c r="G18" s="188"/>
      <c r="H18" s="188"/>
      <c r="I18" s="188"/>
      <c r="J18" s="188"/>
      <c r="K18" s="188"/>
    </row>
    <row r="19" spans="1:12" ht="18" customHeight="1" x14ac:dyDescent="0.3">
      <c r="A19" s="18" t="s">
        <v>527</v>
      </c>
      <c r="B19" s="69" t="s">
        <v>528</v>
      </c>
      <c r="C19" s="37">
        <f>Assumptions!C6</f>
        <v>7775.51</v>
      </c>
      <c r="D19" s="37">
        <f t="shared" ref="D19:D24" si="0">C19/1024</f>
        <v>7.5932714843750002</v>
      </c>
      <c r="E19" s="189">
        <f>C19/Assumptions!C13</f>
        <v>7.2892811265918922E-3</v>
      </c>
      <c r="F19" s="190"/>
      <c r="G19" s="401"/>
      <c r="H19" s="401"/>
      <c r="I19" s="401"/>
      <c r="J19" s="401"/>
      <c r="K19" s="401"/>
      <c r="L19" s="401"/>
    </row>
    <row r="20" spans="1:12" ht="18" customHeight="1" x14ac:dyDescent="0.3">
      <c r="A20" s="18" t="s">
        <v>529</v>
      </c>
      <c r="B20" s="62" t="s">
        <v>528</v>
      </c>
      <c r="C20" s="191">
        <f>Assumptions!C7</f>
        <v>7401.73</v>
      </c>
      <c r="D20" s="191">
        <f t="shared" si="0"/>
        <v>7.2282519531249996</v>
      </c>
      <c r="E20" s="192">
        <f>C20/Assumptions!C13</f>
        <v>6.9388748510553011E-3</v>
      </c>
      <c r="F20" s="193"/>
      <c r="G20" s="401"/>
      <c r="H20" s="401"/>
      <c r="I20" s="401"/>
      <c r="J20" s="401"/>
      <c r="K20" s="401"/>
      <c r="L20" s="401"/>
    </row>
    <row r="21" spans="1:12" ht="18" customHeight="1" x14ac:dyDescent="0.3">
      <c r="A21" s="18" t="s">
        <v>530</v>
      </c>
      <c r="B21" s="69" t="s">
        <v>531</v>
      </c>
      <c r="C21" s="37">
        <f>Assumptions!C8</f>
        <v>165555.92000000001</v>
      </c>
      <c r="D21" s="37">
        <f t="shared" si="0"/>
        <v>161.67570312500001</v>
      </c>
      <c r="E21" s="189">
        <f>C21/Assumptions!C13</f>
        <v>0.15520314976786825</v>
      </c>
      <c r="F21" s="190"/>
      <c r="G21" s="401"/>
      <c r="H21" s="401"/>
      <c r="I21" s="401"/>
      <c r="J21" s="401"/>
      <c r="K21" s="401"/>
      <c r="L21" s="401"/>
    </row>
    <row r="22" spans="1:12" ht="18" customHeight="1" x14ac:dyDescent="0.3">
      <c r="A22" s="18" t="s">
        <v>532</v>
      </c>
      <c r="B22" s="62" t="s">
        <v>533</v>
      </c>
      <c r="C22" s="191">
        <f>Assumptions!C9</f>
        <v>3195.69</v>
      </c>
      <c r="D22" s="191">
        <f t="shared" si="0"/>
        <v>3.1207910156250001</v>
      </c>
      <c r="E22" s="192">
        <f>C22/Assumptions!C13</f>
        <v>2.9958527226430737E-3</v>
      </c>
      <c r="F22" s="193"/>
      <c r="G22" s="401"/>
      <c r="H22" s="401"/>
      <c r="I22" s="401"/>
      <c r="J22" s="401"/>
      <c r="K22" s="401"/>
      <c r="L22" s="401"/>
    </row>
    <row r="23" spans="1:12" ht="18" customHeight="1" x14ac:dyDescent="0.3">
      <c r="A23" s="18" t="s">
        <v>534</v>
      </c>
      <c r="B23" s="69" t="s">
        <v>535</v>
      </c>
      <c r="C23" s="37">
        <f>Assumptions!C10</f>
        <v>882775.79</v>
      </c>
      <c r="D23" s="37">
        <f t="shared" si="0"/>
        <v>862.08573242187504</v>
      </c>
      <c r="E23" s="189">
        <f>C23/Assumptions!C13</f>
        <v>0.82757284153184141</v>
      </c>
      <c r="F23" s="190"/>
      <c r="G23" s="401"/>
      <c r="H23" s="401"/>
      <c r="I23" s="401"/>
      <c r="J23" s="401"/>
      <c r="K23" s="401"/>
      <c r="L23" s="401"/>
    </row>
    <row r="24" spans="1:12" ht="19.5" customHeight="1" x14ac:dyDescent="0.3">
      <c r="A24" s="194" t="s">
        <v>452</v>
      </c>
      <c r="B24" s="188"/>
      <c r="C24" s="195">
        <f>Assumptions!C13</f>
        <v>1066704.6400000001</v>
      </c>
      <c r="D24" s="195">
        <f t="shared" si="0"/>
        <v>1041.7037500000001</v>
      </c>
      <c r="E24" s="196">
        <f>SUM(E19:E23)</f>
        <v>1</v>
      </c>
      <c r="F24" s="197"/>
      <c r="G24" s="401"/>
      <c r="H24" s="401"/>
      <c r="I24" s="401"/>
      <c r="J24" s="401"/>
      <c r="K24" s="401"/>
      <c r="L24" s="401"/>
    </row>
    <row r="25" spans="1:12" ht="15" customHeight="1" x14ac:dyDescent="0.3">
      <c r="A25" s="198"/>
      <c r="B25" s="198"/>
      <c r="C25" s="198"/>
      <c r="D25" s="198"/>
      <c r="E25" s="198"/>
      <c r="F25" s="198"/>
      <c r="G25" s="198"/>
      <c r="H25" s="198"/>
      <c r="I25" s="198"/>
      <c r="J25" s="198"/>
      <c r="K25" s="198"/>
    </row>
  </sheetData>
  <mergeCells count="22">
    <mergeCell ref="G22:L22"/>
    <mergeCell ref="G23:L23"/>
    <mergeCell ref="G24:L24"/>
    <mergeCell ref="A8:G8"/>
    <mergeCell ref="A17:L17"/>
    <mergeCell ref="G19:L19"/>
    <mergeCell ref="G20:L20"/>
    <mergeCell ref="G21:L21"/>
    <mergeCell ref="A5:C5"/>
    <mergeCell ref="D5:F5"/>
    <mergeCell ref="G5:I5"/>
    <mergeCell ref="J5:L5"/>
    <mergeCell ref="A6:C6"/>
    <mergeCell ref="D6:F6"/>
    <mergeCell ref="G6:I6"/>
    <mergeCell ref="J6:L6"/>
    <mergeCell ref="A1:L1"/>
    <mergeCell ref="A2:L2"/>
    <mergeCell ref="A4:C4"/>
    <mergeCell ref="D4:F4"/>
    <mergeCell ref="G4:I4"/>
    <mergeCell ref="J4:L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1"/>
  <sheetViews>
    <sheetView showGridLines="0" topLeftCell="A17" zoomScaleNormal="100" workbookViewId="0">
      <selection activeCell="I22" sqref="I22"/>
    </sheetView>
  </sheetViews>
  <sheetFormatPr defaultColWidth="8.6640625" defaultRowHeight="14.4" x14ac:dyDescent="0.3"/>
  <cols>
    <col min="1" max="1" width="38" customWidth="1"/>
    <col min="2" max="2" width="39.77734375" customWidth="1"/>
    <col min="3" max="5" width="14" customWidth="1"/>
    <col min="6" max="6" width="36" customWidth="1"/>
    <col min="7" max="7" width="32.33203125" customWidth="1"/>
    <col min="8" max="8" width="38.88671875" customWidth="1"/>
    <col min="9" max="9" width="39.77734375" customWidth="1"/>
    <col min="10" max="10" width="8.33203125" customWidth="1"/>
    <col min="11" max="11" width="20" customWidth="1"/>
    <col min="12" max="16" width="22.77734375" customWidth="1"/>
  </cols>
  <sheetData>
    <row r="1" spans="1:14" ht="27.75" customHeight="1" x14ac:dyDescent="0.3">
      <c r="A1" s="28" t="s">
        <v>536</v>
      </c>
    </row>
    <row r="2" spans="1:14" ht="13.5" customHeight="1" x14ac:dyDescent="0.3">
      <c r="A2" s="388" t="s">
        <v>492</v>
      </c>
      <c r="B2" s="388"/>
      <c r="C2" s="388"/>
      <c r="D2" s="388"/>
      <c r="E2" s="388"/>
      <c r="F2" s="388"/>
      <c r="G2" s="388"/>
      <c r="H2" s="388"/>
      <c r="I2" s="388"/>
      <c r="J2" s="388"/>
      <c r="K2" s="388"/>
      <c r="L2" s="388"/>
      <c r="M2" s="388"/>
      <c r="N2" s="388"/>
    </row>
    <row r="4" spans="1:14" ht="18" customHeight="1" x14ac:dyDescent="0.3">
      <c r="A4" s="29" t="s">
        <v>537</v>
      </c>
    </row>
    <row r="5" spans="1:14" ht="31.5" customHeight="1" x14ac:dyDescent="0.3">
      <c r="A5" s="30" t="s">
        <v>538</v>
      </c>
      <c r="B5" s="30" t="s">
        <v>522</v>
      </c>
      <c r="C5" s="30" t="s">
        <v>539</v>
      </c>
      <c r="D5" s="30" t="s">
        <v>540</v>
      </c>
      <c r="E5" s="30" t="s">
        <v>541</v>
      </c>
      <c r="F5" s="30" t="s">
        <v>542</v>
      </c>
      <c r="G5" s="30" t="s">
        <v>540</v>
      </c>
      <c r="H5" s="30" t="s">
        <v>543</v>
      </c>
      <c r="I5" s="30" t="s">
        <v>243</v>
      </c>
      <c r="J5" s="30"/>
      <c r="K5" s="30"/>
      <c r="L5" s="30"/>
    </row>
    <row r="6" spans="1:14" ht="19.5" customHeight="1" x14ac:dyDescent="0.3">
      <c r="A6" s="18" t="s">
        <v>544</v>
      </c>
      <c r="B6" s="33" t="s">
        <v>544</v>
      </c>
      <c r="C6" s="199">
        <f>Assumptions!C23</f>
        <v>0.02</v>
      </c>
      <c r="D6" s="200" t="str">
        <f>Assumptions!C22</f>
        <v>Value</v>
      </c>
      <c r="E6" s="62" t="s">
        <v>528</v>
      </c>
      <c r="F6" s="201">
        <f>(Assumptions!C37+Assumptions!C38)/2</f>
        <v>2.35E-2</v>
      </c>
      <c r="G6" s="202">
        <f>Assumptions!C26</f>
        <v>2E-3</v>
      </c>
      <c r="H6" s="33" t="s">
        <v>545</v>
      </c>
      <c r="I6" s="178" t="s">
        <v>546</v>
      </c>
      <c r="J6" s="97"/>
      <c r="K6" s="401"/>
      <c r="L6" s="401"/>
      <c r="M6" s="401"/>
      <c r="N6" s="401"/>
    </row>
    <row r="7" spans="1:14" ht="19.5" customHeight="1" x14ac:dyDescent="0.3">
      <c r="A7" s="18" t="s">
        <v>530</v>
      </c>
      <c r="B7" s="35" t="s">
        <v>530</v>
      </c>
      <c r="C7" s="203">
        <f>Assumptions!C24</f>
        <v>1.4999999999999999E-2</v>
      </c>
      <c r="D7" s="204">
        <f>Assumptions!C23</f>
        <v>0.02</v>
      </c>
      <c r="E7" s="69" t="s">
        <v>531</v>
      </c>
      <c r="F7" s="205">
        <f>(Assumptions!C39+Assumptions!C40)/2</f>
        <v>1.2750000000000001E-2</v>
      </c>
      <c r="G7" s="204">
        <f>Assumptions!C26</f>
        <v>2E-3</v>
      </c>
      <c r="H7" s="35" t="s">
        <v>547</v>
      </c>
      <c r="I7" s="183" t="s">
        <v>548</v>
      </c>
      <c r="J7" s="97"/>
      <c r="K7" s="401"/>
      <c r="L7" s="401"/>
      <c r="M7" s="401"/>
      <c r="N7" s="401"/>
    </row>
    <row r="8" spans="1:14" ht="19.5" customHeight="1" x14ac:dyDescent="0.3">
      <c r="A8" s="18" t="s">
        <v>532</v>
      </c>
      <c r="B8" s="33" t="s">
        <v>532</v>
      </c>
      <c r="C8" s="199">
        <f>Assumptions!C25</f>
        <v>0.01</v>
      </c>
      <c r="D8" s="202">
        <f>Assumptions!C24</f>
        <v>1.4999999999999999E-2</v>
      </c>
      <c r="E8" s="62" t="s">
        <v>533</v>
      </c>
      <c r="F8" s="201">
        <f>(Assumptions!C41+Assumptions!C42)/2</f>
        <v>4.2500000000000003E-3</v>
      </c>
      <c r="G8" s="202">
        <f>Assumptions!C26</f>
        <v>2E-3</v>
      </c>
      <c r="H8" s="33" t="s">
        <v>549</v>
      </c>
      <c r="I8" s="178" t="s">
        <v>550</v>
      </c>
      <c r="J8" s="97"/>
      <c r="K8" s="401"/>
      <c r="L8" s="401"/>
      <c r="M8" s="401"/>
      <c r="N8" s="401"/>
    </row>
    <row r="9" spans="1:14" ht="19.5" customHeight="1" x14ac:dyDescent="0.3">
      <c r="A9" s="18" t="s">
        <v>534</v>
      </c>
      <c r="B9" s="35" t="s">
        <v>534</v>
      </c>
      <c r="C9" s="203">
        <f>Assumptions!C26</f>
        <v>2E-3</v>
      </c>
      <c r="D9" s="204">
        <f>Assumptions!C25</f>
        <v>0.01</v>
      </c>
      <c r="E9" s="69" t="s">
        <v>535</v>
      </c>
      <c r="F9" s="205">
        <f>(Assumptions!C43+Assumptions!C44)/2</f>
        <v>9.9500000000000001E-4</v>
      </c>
      <c r="G9" s="204">
        <f>Assumptions!C26</f>
        <v>2E-3</v>
      </c>
      <c r="H9" s="35" t="s">
        <v>551</v>
      </c>
      <c r="I9" s="183" t="s">
        <v>552</v>
      </c>
      <c r="J9" s="97"/>
      <c r="K9" s="401"/>
      <c r="L9" s="401"/>
      <c r="M9" s="401"/>
      <c r="N9" s="401"/>
    </row>
    <row r="11" spans="1:14" ht="18" customHeight="1" x14ac:dyDescent="0.3">
      <c r="A11" s="15" t="s">
        <v>553</v>
      </c>
    </row>
    <row r="12" spans="1:14" ht="31.5" customHeight="1" x14ac:dyDescent="0.3">
      <c r="A12" s="16" t="s">
        <v>554</v>
      </c>
      <c r="B12" s="16" t="s">
        <v>524</v>
      </c>
      <c r="C12" s="16" t="s">
        <v>525</v>
      </c>
      <c r="D12" s="16" t="s">
        <v>555</v>
      </c>
      <c r="E12" s="16" t="s">
        <v>556</v>
      </c>
      <c r="F12" s="16" t="s">
        <v>540</v>
      </c>
      <c r="G12" s="30" t="s">
        <v>557</v>
      </c>
      <c r="H12" s="16" t="s">
        <v>540</v>
      </c>
      <c r="I12" s="16" t="s">
        <v>558</v>
      </c>
      <c r="J12" s="16" t="s">
        <v>540</v>
      </c>
      <c r="K12" s="16" t="s">
        <v>559</v>
      </c>
      <c r="L12" s="16" t="s">
        <v>540</v>
      </c>
    </row>
    <row r="13" spans="1:14" ht="19.5" customHeight="1" x14ac:dyDescent="0.3">
      <c r="A13" s="18" t="s">
        <v>544</v>
      </c>
      <c r="B13" s="37">
        <f>Assumptions!C6+Assumptions!C7</f>
        <v>15177.24</v>
      </c>
      <c r="C13" s="37">
        <f>B13/1024</f>
        <v>14.8215234375</v>
      </c>
      <c r="D13" s="206" t="s">
        <v>560</v>
      </c>
      <c r="E13" s="207">
        <f>B13*Assumptions!C11*Assumptions!C23</f>
        <v>326.00711519999999</v>
      </c>
      <c r="F13" s="208" t="s">
        <v>561</v>
      </c>
      <c r="G13" s="179">
        <f>E13</f>
        <v>326.00711519999999</v>
      </c>
      <c r="H13" s="183" t="s">
        <v>562</v>
      </c>
      <c r="I13" s="179">
        <f>B13*Assumptions!C11*(Assumptions!C37+Assumptions!C38)/2</f>
        <v>383.05836035999999</v>
      </c>
      <c r="J13" s="209" t="s">
        <v>563</v>
      </c>
      <c r="K13" s="180">
        <f>G13-I13</f>
        <v>-57.051245160000008</v>
      </c>
      <c r="L13" s="183" t="s">
        <v>564</v>
      </c>
    </row>
    <row r="14" spans="1:14" ht="19.5" customHeight="1" x14ac:dyDescent="0.3">
      <c r="A14" s="18" t="s">
        <v>530</v>
      </c>
      <c r="B14" s="191">
        <f>Assumptions!C8</f>
        <v>165555.92000000001</v>
      </c>
      <c r="C14" s="191">
        <f>B14/1024</f>
        <v>161.67570312500001</v>
      </c>
      <c r="D14" s="200" t="s">
        <v>565</v>
      </c>
      <c r="E14" s="207">
        <f>B14*Assumptions!C11*Assumptions!C24</f>
        <v>2667.1058712000004</v>
      </c>
      <c r="F14" s="208" t="s">
        <v>566</v>
      </c>
      <c r="G14" s="210">
        <f>E14</f>
        <v>2667.1058712000004</v>
      </c>
      <c r="H14" s="178" t="s">
        <v>562</v>
      </c>
      <c r="I14" s="179">
        <f>B14*Assumptions!C11*(Assumptions!C39+Assumptions!C40)/2</f>
        <v>2267.0399905200002</v>
      </c>
      <c r="J14" s="209" t="s">
        <v>567</v>
      </c>
      <c r="K14" s="180">
        <f>G14-I14</f>
        <v>400.06588068000019</v>
      </c>
      <c r="L14" s="178" t="s">
        <v>564</v>
      </c>
    </row>
    <row r="15" spans="1:14" ht="19.5" customHeight="1" x14ac:dyDescent="0.3">
      <c r="A15" s="18" t="s">
        <v>532</v>
      </c>
      <c r="B15" s="37">
        <f>Assumptions!C9</f>
        <v>3195.69</v>
      </c>
      <c r="C15" s="37">
        <f>B15/1024</f>
        <v>3.1207910156250001</v>
      </c>
      <c r="D15" s="206" t="s">
        <v>568</v>
      </c>
      <c r="E15" s="207">
        <f>B15*Assumptions!C11*Assumptions!C25</f>
        <v>34.321710600000003</v>
      </c>
      <c r="F15" s="208" t="s">
        <v>569</v>
      </c>
      <c r="G15" s="179">
        <f>E15</f>
        <v>34.321710600000003</v>
      </c>
      <c r="H15" s="183" t="s">
        <v>562</v>
      </c>
      <c r="I15" s="179">
        <f>B15*Assumptions!C11*(Assumptions!C41+Assumptions!C42)/2</f>
        <v>14.586727005000002</v>
      </c>
      <c r="J15" s="209" t="s">
        <v>570</v>
      </c>
      <c r="K15" s="180">
        <f>G15-I15</f>
        <v>19.734983595000003</v>
      </c>
      <c r="L15" s="183" t="s">
        <v>564</v>
      </c>
    </row>
    <row r="16" spans="1:14" ht="19.5" customHeight="1" x14ac:dyDescent="0.3">
      <c r="A16" s="18" t="s">
        <v>534</v>
      </c>
      <c r="B16" s="191">
        <f>Assumptions!C10</f>
        <v>882775.79</v>
      </c>
      <c r="C16" s="191">
        <f>B16/1024</f>
        <v>862.08573242187504</v>
      </c>
      <c r="D16" s="200" t="s">
        <v>571</v>
      </c>
      <c r="E16" s="207">
        <f>B16*Assumptions!C11*Assumptions!C26</f>
        <v>1896.2023969200002</v>
      </c>
      <c r="F16" s="208" t="s">
        <v>572</v>
      </c>
      <c r="G16" s="210">
        <f>E16</f>
        <v>1896.2023969200002</v>
      </c>
      <c r="H16" s="178" t="s">
        <v>562</v>
      </c>
      <c r="I16" s="179">
        <f>B16*Assumptions!C11*(Assumptions!C43+Assumptions!C44)/2</f>
        <v>943.36069246770012</v>
      </c>
      <c r="J16" s="209" t="s">
        <v>573</v>
      </c>
      <c r="K16" s="180">
        <f>G16-I16</f>
        <v>952.84170445230006</v>
      </c>
      <c r="L16" s="178" t="s">
        <v>564</v>
      </c>
    </row>
    <row r="17" spans="1:12" ht="19.5" customHeight="1" x14ac:dyDescent="0.3">
      <c r="A17" s="194" t="s">
        <v>574</v>
      </c>
      <c r="B17" s="195">
        <f>SUM(B13:B16)</f>
        <v>1066704.6400000001</v>
      </c>
      <c r="C17" s="195">
        <f>SUM(C13:C16)</f>
        <v>1041.7037500000001</v>
      </c>
      <c r="D17" s="187"/>
      <c r="E17" s="211">
        <f>SUM(E13:E16)</f>
        <v>4923.6370939200006</v>
      </c>
      <c r="F17" s="187"/>
      <c r="G17" s="56">
        <f>SUM(G13:G16)</f>
        <v>4923.6370939200006</v>
      </c>
      <c r="H17" s="187"/>
      <c r="I17" s="56">
        <f>SUM(I13:I16)</f>
        <v>3608.0457703526999</v>
      </c>
      <c r="J17" s="187"/>
      <c r="K17" s="56">
        <f>SUM(K13:K16)</f>
        <v>1315.5913235673002</v>
      </c>
      <c r="L17" s="187"/>
    </row>
    <row r="19" spans="1:12" ht="18" customHeight="1" x14ac:dyDescent="0.3">
      <c r="A19" s="402" t="s">
        <v>575</v>
      </c>
      <c r="B19" s="402"/>
      <c r="C19" s="402"/>
      <c r="D19" s="402"/>
      <c r="E19" s="402"/>
      <c r="F19" s="402"/>
      <c r="G19" s="198"/>
      <c r="H19" s="198"/>
      <c r="I19" s="198"/>
      <c r="J19" s="198"/>
      <c r="K19" s="198"/>
      <c r="L19" s="198"/>
    </row>
    <row r="20" spans="1:12" ht="24" customHeight="1" x14ac:dyDescent="0.3">
      <c r="A20" s="47" t="s">
        <v>396</v>
      </c>
      <c r="B20" s="47" t="s">
        <v>576</v>
      </c>
      <c r="C20" s="47" t="s">
        <v>577</v>
      </c>
      <c r="D20" s="47" t="s">
        <v>302</v>
      </c>
      <c r="E20" s="47" t="s">
        <v>303</v>
      </c>
      <c r="F20" s="47" t="s">
        <v>243</v>
      </c>
      <c r="G20" s="212"/>
      <c r="H20" s="212"/>
      <c r="I20" s="212"/>
      <c r="J20" s="212"/>
      <c r="K20" s="212"/>
      <c r="L20" s="212"/>
    </row>
    <row r="21" spans="1:12" ht="19.5" customHeight="1" x14ac:dyDescent="0.3">
      <c r="A21" s="25" t="s">
        <v>578</v>
      </c>
      <c r="B21" s="213">
        <f>Assumptions!C53</f>
        <v>5</v>
      </c>
      <c r="C21" s="155">
        <f>Assumptions!C51</f>
        <v>130</v>
      </c>
      <c r="D21" s="214">
        <f t="shared" ref="D21:D29" si="0">B21*C21</f>
        <v>650</v>
      </c>
      <c r="E21" s="155">
        <f t="shared" ref="E21:E29" si="1">D21*12</f>
        <v>7800</v>
      </c>
      <c r="F21" s="215" t="s">
        <v>579</v>
      </c>
      <c r="G21" s="212"/>
      <c r="H21" s="212"/>
      <c r="I21" s="198"/>
      <c r="J21" s="198"/>
      <c r="K21" s="198"/>
      <c r="L21" s="198"/>
    </row>
    <row r="22" spans="1:12" ht="19.5" customHeight="1" x14ac:dyDescent="0.3">
      <c r="A22" s="22" t="s">
        <v>580</v>
      </c>
      <c r="B22" s="216" t="s">
        <v>304</v>
      </c>
      <c r="C22" s="217">
        <f>Assumptions!C52</f>
        <v>0</v>
      </c>
      <c r="D22" s="214">
        <f t="shared" si="0"/>
        <v>0</v>
      </c>
      <c r="E22" s="217">
        <f t="shared" si="1"/>
        <v>0</v>
      </c>
      <c r="F22" s="218" t="s">
        <v>581</v>
      </c>
      <c r="G22" s="212"/>
      <c r="H22" s="212"/>
      <c r="I22" s="198"/>
      <c r="J22" s="198"/>
      <c r="K22" s="198"/>
      <c r="L22" s="198"/>
    </row>
    <row r="23" spans="1:12" ht="19.5" customHeight="1" x14ac:dyDescent="0.3">
      <c r="A23" s="22" t="s">
        <v>582</v>
      </c>
      <c r="B23" s="213" t="s">
        <v>304</v>
      </c>
      <c r="C23" s="155">
        <f>Assumptions!C54</f>
        <v>31</v>
      </c>
      <c r="D23" s="214">
        <f t="shared" si="0"/>
        <v>31</v>
      </c>
      <c r="E23" s="155">
        <f t="shared" si="1"/>
        <v>372</v>
      </c>
      <c r="F23" s="219" t="s">
        <v>583</v>
      </c>
      <c r="G23" s="212"/>
      <c r="H23" s="212"/>
      <c r="I23" s="198"/>
      <c r="J23" s="198"/>
      <c r="K23" s="198"/>
      <c r="L23" s="198"/>
    </row>
    <row r="24" spans="1:12" ht="19.5" customHeight="1" x14ac:dyDescent="0.3">
      <c r="A24" s="22" t="s">
        <v>584</v>
      </c>
      <c r="B24" s="216">
        <f>Assumptions!C56</f>
        <v>5</v>
      </c>
      <c r="C24" s="217">
        <f>Assumptions!C55</f>
        <v>1</v>
      </c>
      <c r="D24" s="214">
        <f t="shared" si="0"/>
        <v>5</v>
      </c>
      <c r="E24" s="217">
        <f t="shared" si="1"/>
        <v>60</v>
      </c>
      <c r="F24" s="218" t="s">
        <v>585</v>
      </c>
      <c r="G24" s="212"/>
      <c r="H24" s="212"/>
      <c r="I24" s="198"/>
      <c r="J24" s="198"/>
      <c r="K24" s="198"/>
      <c r="L24" s="198"/>
    </row>
    <row r="25" spans="1:12" ht="19.5" customHeight="1" x14ac:dyDescent="0.3">
      <c r="A25" s="22" t="s">
        <v>586</v>
      </c>
      <c r="B25" s="213" t="s">
        <v>304</v>
      </c>
      <c r="C25" s="155">
        <f>Assumptions!C57</f>
        <v>2</v>
      </c>
      <c r="D25" s="214">
        <f t="shared" si="0"/>
        <v>2</v>
      </c>
      <c r="E25" s="155">
        <f t="shared" si="1"/>
        <v>24</v>
      </c>
      <c r="F25" s="219" t="s">
        <v>587</v>
      </c>
      <c r="G25" s="212"/>
      <c r="H25" s="212"/>
      <c r="I25" s="198"/>
      <c r="J25" s="198"/>
      <c r="K25" s="198"/>
      <c r="L25" s="198"/>
    </row>
    <row r="26" spans="1:12" ht="19.5" customHeight="1" x14ac:dyDescent="0.3">
      <c r="A26" s="22" t="s">
        <v>588</v>
      </c>
      <c r="B26" s="216" t="s">
        <v>304</v>
      </c>
      <c r="C26" s="217">
        <f>Assumptions!C58</f>
        <v>10</v>
      </c>
      <c r="D26" s="214">
        <f t="shared" si="0"/>
        <v>10</v>
      </c>
      <c r="E26" s="217">
        <f t="shared" si="1"/>
        <v>120</v>
      </c>
      <c r="F26" s="218" t="s">
        <v>589</v>
      </c>
      <c r="G26" s="212"/>
      <c r="H26" s="212"/>
      <c r="I26" s="198"/>
      <c r="J26" s="198"/>
      <c r="K26" s="198"/>
      <c r="L26" s="198"/>
    </row>
    <row r="27" spans="1:12" ht="19.5" customHeight="1" x14ac:dyDescent="0.3">
      <c r="A27" s="22" t="s">
        <v>590</v>
      </c>
      <c r="B27" s="213" t="s">
        <v>304</v>
      </c>
      <c r="C27" s="155">
        <f>Assumptions!C59</f>
        <v>65</v>
      </c>
      <c r="D27" s="214">
        <f t="shared" si="0"/>
        <v>65</v>
      </c>
      <c r="E27" s="155">
        <f t="shared" si="1"/>
        <v>780</v>
      </c>
      <c r="F27" s="219" t="s">
        <v>591</v>
      </c>
      <c r="G27" s="212"/>
      <c r="H27" s="212"/>
      <c r="I27" s="198"/>
      <c r="J27" s="198"/>
      <c r="K27" s="198"/>
      <c r="L27" s="198"/>
    </row>
    <row r="28" spans="1:12" ht="19.5" customHeight="1" x14ac:dyDescent="0.3">
      <c r="A28" s="22" t="s">
        <v>592</v>
      </c>
      <c r="B28" s="216" t="s">
        <v>304</v>
      </c>
      <c r="C28" s="217">
        <f>Assumptions!C60</f>
        <v>86</v>
      </c>
      <c r="D28" s="214">
        <f t="shared" si="0"/>
        <v>86</v>
      </c>
      <c r="E28" s="217">
        <f t="shared" si="1"/>
        <v>1032</v>
      </c>
      <c r="F28" s="218" t="s">
        <v>593</v>
      </c>
      <c r="G28" s="212"/>
      <c r="H28" s="212"/>
      <c r="I28" s="198"/>
      <c r="J28" s="198"/>
      <c r="K28" s="198"/>
      <c r="L28" s="198"/>
    </row>
    <row r="29" spans="1:12" ht="19.5" customHeight="1" x14ac:dyDescent="0.3">
      <c r="A29" s="22" t="s">
        <v>594</v>
      </c>
      <c r="B29" s="213" t="s">
        <v>304</v>
      </c>
      <c r="C29" s="155">
        <f>Assumptions!C61</f>
        <v>39</v>
      </c>
      <c r="D29" s="214">
        <f t="shared" si="0"/>
        <v>39</v>
      </c>
      <c r="E29" s="155">
        <f t="shared" si="1"/>
        <v>468</v>
      </c>
      <c r="F29" s="219" t="s">
        <v>595</v>
      </c>
      <c r="G29" s="212"/>
      <c r="H29" s="212"/>
      <c r="I29" s="198"/>
      <c r="J29" s="198"/>
      <c r="K29" s="198"/>
      <c r="L29" s="198"/>
    </row>
    <row r="30" spans="1:12" ht="21.75" customHeight="1" x14ac:dyDescent="0.3">
      <c r="A30" s="403" t="s">
        <v>596</v>
      </c>
      <c r="B30" s="403"/>
      <c r="C30" s="403"/>
      <c r="D30" s="221">
        <f>SUM(D21:D29)</f>
        <v>888</v>
      </c>
      <c r="E30" s="221">
        <f>SUM(E21:E29)</f>
        <v>10656</v>
      </c>
      <c r="F30" s="222"/>
      <c r="G30" s="212"/>
      <c r="H30" s="212"/>
      <c r="I30" s="212"/>
      <c r="J30" s="212"/>
      <c r="K30" s="212"/>
      <c r="L30" s="212"/>
    </row>
    <row r="31" spans="1:12" ht="15" customHeight="1" x14ac:dyDescent="0.3">
      <c r="A31" s="198"/>
      <c r="B31" s="198"/>
      <c r="C31" s="198"/>
      <c r="D31" s="198"/>
      <c r="E31" s="198"/>
      <c r="F31" s="198"/>
      <c r="G31" s="198"/>
      <c r="H31" s="198"/>
      <c r="I31" s="198"/>
      <c r="J31" s="198"/>
      <c r="K31" s="198"/>
      <c r="L31" s="198"/>
    </row>
    <row r="32" spans="1:12" ht="18" customHeight="1" x14ac:dyDescent="0.3">
      <c r="A32" s="12" t="s">
        <v>597</v>
      </c>
      <c r="B32" s="12"/>
      <c r="C32" s="12"/>
      <c r="D32" s="12"/>
      <c r="E32" s="12"/>
      <c r="F32" s="12"/>
      <c r="G32" s="198"/>
      <c r="H32" s="198"/>
      <c r="I32" s="198"/>
      <c r="J32" s="198"/>
      <c r="K32" s="198"/>
      <c r="L32" s="198"/>
    </row>
    <row r="33" spans="1:12" ht="24" customHeight="1" x14ac:dyDescent="0.3">
      <c r="A33" s="16" t="s">
        <v>598</v>
      </c>
      <c r="B33" s="16" t="s">
        <v>302</v>
      </c>
      <c r="C33" s="16" t="s">
        <v>303</v>
      </c>
      <c r="D33" s="16" t="s">
        <v>599</v>
      </c>
      <c r="E33" s="16" t="s">
        <v>600</v>
      </c>
      <c r="F33" s="16" t="s">
        <v>243</v>
      </c>
      <c r="G33" s="212"/>
      <c r="H33" s="212"/>
      <c r="I33" s="212"/>
      <c r="J33" s="212"/>
      <c r="K33" s="212"/>
      <c r="L33" s="212"/>
    </row>
    <row r="34" spans="1:12" ht="33" customHeight="1" x14ac:dyDescent="0.3">
      <c r="A34" s="22" t="s">
        <v>601</v>
      </c>
      <c r="B34" s="207">
        <f>Assumptions!C64</f>
        <v>26455.17</v>
      </c>
      <c r="C34" s="207">
        <f>Assumptions!C64*12</f>
        <v>317462.03999999998</v>
      </c>
      <c r="D34" s="207" t="s">
        <v>418</v>
      </c>
      <c r="E34" s="223" t="s">
        <v>245</v>
      </c>
      <c r="F34" s="224" t="s">
        <v>602</v>
      </c>
      <c r="G34" s="198"/>
      <c r="H34" s="198"/>
      <c r="I34" s="198"/>
      <c r="J34" s="198"/>
      <c r="K34" s="198"/>
      <c r="L34" s="198"/>
    </row>
    <row r="35" spans="1:12" ht="19.5" customHeight="1" x14ac:dyDescent="0.3">
      <c r="A35" s="225" t="s">
        <v>603</v>
      </c>
      <c r="B35" s="226">
        <f>Assumptions!C65</f>
        <v>3000</v>
      </c>
      <c r="C35" s="227">
        <f>Assumptions!C65*12</f>
        <v>36000</v>
      </c>
      <c r="D35" s="228" t="s">
        <v>418</v>
      </c>
      <c r="E35" s="228" t="s">
        <v>245</v>
      </c>
      <c r="F35" s="229" t="s">
        <v>604</v>
      </c>
    </row>
    <row r="36" spans="1:12" ht="24" customHeight="1" x14ac:dyDescent="0.3">
      <c r="A36" s="54" t="s">
        <v>605</v>
      </c>
      <c r="B36" s="105">
        <f>B34+B35</f>
        <v>29455.17</v>
      </c>
      <c r="C36" s="105">
        <f>C34+C35</f>
        <v>353462.04</v>
      </c>
      <c r="D36" s="230" t="s">
        <v>418</v>
      </c>
      <c r="E36" s="231" t="s">
        <v>606</v>
      </c>
      <c r="F36" s="232" t="s">
        <v>607</v>
      </c>
      <c r="G36" s="198"/>
      <c r="H36" s="198"/>
      <c r="I36" s="198"/>
      <c r="J36" s="198"/>
      <c r="K36" s="198"/>
      <c r="L36" s="198"/>
    </row>
    <row r="37" spans="1:12" ht="19.5" customHeight="1" x14ac:dyDescent="0.3">
      <c r="A37" s="22" t="s">
        <v>608</v>
      </c>
      <c r="B37" s="214">
        <f>I17</f>
        <v>3608.0457703526999</v>
      </c>
      <c r="C37" s="179">
        <f>I17*12</f>
        <v>43296.549244232403</v>
      </c>
      <c r="D37" s="179">
        <f>B36-B37</f>
        <v>25847.124229647299</v>
      </c>
      <c r="E37" s="233">
        <f>(B36-B37)/B36</f>
        <v>0.87750721620847205</v>
      </c>
      <c r="F37" s="224" t="s">
        <v>609</v>
      </c>
      <c r="G37" s="198"/>
      <c r="H37" s="198"/>
      <c r="I37" s="198"/>
      <c r="J37" s="198"/>
      <c r="K37" s="198"/>
      <c r="L37" s="198"/>
    </row>
    <row r="38" spans="1:12" ht="19.5" customHeight="1" x14ac:dyDescent="0.3">
      <c r="A38" s="22" t="s">
        <v>610</v>
      </c>
      <c r="B38" s="179">
        <f>D30</f>
        <v>888</v>
      </c>
      <c r="C38" s="179">
        <f>E30</f>
        <v>10656</v>
      </c>
      <c r="D38" s="179"/>
      <c r="E38" s="233"/>
      <c r="F38" s="224" t="s">
        <v>611</v>
      </c>
      <c r="G38" s="198"/>
      <c r="H38" s="198"/>
      <c r="I38" s="198"/>
      <c r="J38" s="198"/>
      <c r="K38" s="198"/>
      <c r="L38" s="198"/>
    </row>
    <row r="39" spans="1:12" ht="25.5" customHeight="1" x14ac:dyDescent="0.3">
      <c r="A39" s="220" t="s">
        <v>612</v>
      </c>
      <c r="B39" s="146">
        <f>B37+B38</f>
        <v>4496.0457703526999</v>
      </c>
      <c r="C39" s="146">
        <f>C37+C38</f>
        <v>53952.549244232403</v>
      </c>
      <c r="D39" s="146">
        <f>B36-B39</f>
        <v>24959.124229647299</v>
      </c>
      <c r="E39" s="234">
        <f>(B36-B39)/B36</f>
        <v>0.84735970729917021</v>
      </c>
      <c r="F39" s="235" t="s">
        <v>613</v>
      </c>
      <c r="G39" s="198"/>
      <c r="H39" s="198"/>
      <c r="I39" s="198"/>
      <c r="J39" s="198"/>
      <c r="K39" s="198"/>
      <c r="L39" s="198"/>
    </row>
    <row r="40" spans="1:12" ht="15" customHeight="1" x14ac:dyDescent="0.3">
      <c r="A40" s="198"/>
      <c r="B40" s="236"/>
      <c r="C40" s="198"/>
      <c r="D40" s="236"/>
      <c r="E40" s="198"/>
      <c r="F40" s="198"/>
      <c r="G40" s="198"/>
      <c r="H40" s="198"/>
      <c r="I40" s="198"/>
      <c r="J40" s="198"/>
      <c r="K40" s="198"/>
      <c r="L40" s="198"/>
    </row>
    <row r="41" spans="1:12" ht="15" customHeight="1" x14ac:dyDescent="0.3">
      <c r="A41" s="198"/>
      <c r="B41" s="198"/>
      <c r="C41" s="198"/>
      <c r="D41" s="198"/>
      <c r="E41" s="198"/>
      <c r="F41" s="198"/>
      <c r="G41" s="198"/>
      <c r="H41" s="198"/>
      <c r="I41" s="198"/>
      <c r="J41" s="198"/>
      <c r="K41" s="198"/>
      <c r="L41" s="198"/>
    </row>
    <row r="42" spans="1:12" ht="15" customHeight="1" x14ac:dyDescent="0.3">
      <c r="A42" s="198"/>
      <c r="B42" s="198"/>
      <c r="C42" s="198"/>
      <c r="D42" s="198"/>
      <c r="E42" s="198"/>
      <c r="F42" s="198"/>
      <c r="G42" s="198"/>
      <c r="H42" s="198"/>
      <c r="I42" s="198"/>
      <c r="J42" s="198"/>
      <c r="K42" s="198"/>
      <c r="L42" s="198"/>
    </row>
    <row r="43" spans="1:12" ht="15" customHeight="1" x14ac:dyDescent="0.3">
      <c r="A43" s="198"/>
      <c r="B43" s="198"/>
      <c r="C43" s="198"/>
      <c r="D43" s="198"/>
      <c r="E43" s="198"/>
      <c r="F43" s="198"/>
      <c r="G43" s="198"/>
      <c r="H43" s="198"/>
      <c r="I43" s="198"/>
      <c r="J43" s="198"/>
      <c r="K43" s="198"/>
      <c r="L43" s="198"/>
    </row>
    <row r="44" spans="1:12" ht="15" customHeight="1" x14ac:dyDescent="0.3">
      <c r="A44" s="198"/>
      <c r="B44" s="198"/>
      <c r="C44" s="198"/>
      <c r="D44" s="198"/>
      <c r="E44" s="198"/>
      <c r="F44" s="198"/>
      <c r="G44" s="198"/>
      <c r="H44" s="198"/>
      <c r="I44" s="198"/>
      <c r="J44" s="198"/>
      <c r="K44" s="198"/>
      <c r="L44" s="198"/>
    </row>
    <row r="45" spans="1:12" ht="15" customHeight="1" x14ac:dyDescent="0.3">
      <c r="A45" s="198"/>
      <c r="B45" s="198"/>
      <c r="C45" s="198"/>
      <c r="D45" s="198"/>
      <c r="E45" s="198"/>
      <c r="F45" s="198"/>
      <c r="G45" s="198"/>
      <c r="H45" s="198"/>
      <c r="I45" s="198"/>
      <c r="J45" s="198"/>
      <c r="K45" s="198"/>
      <c r="L45" s="198"/>
    </row>
    <row r="46" spans="1:12" ht="15" customHeight="1" x14ac:dyDescent="0.3">
      <c r="A46" s="198"/>
      <c r="B46" s="198"/>
      <c r="C46" s="198"/>
      <c r="D46" s="198"/>
      <c r="E46" s="198"/>
      <c r="F46" s="198"/>
      <c r="G46" s="198"/>
      <c r="H46" s="198"/>
      <c r="I46" s="198"/>
      <c r="J46" s="198"/>
      <c r="K46" s="198"/>
      <c r="L46" s="198"/>
    </row>
    <row r="47" spans="1:12" ht="15" customHeight="1" x14ac:dyDescent="0.3">
      <c r="A47" s="198"/>
      <c r="B47" s="198"/>
      <c r="C47" s="198"/>
      <c r="D47" s="198"/>
      <c r="E47" s="198"/>
      <c r="F47" s="198"/>
      <c r="G47" s="198"/>
      <c r="H47" s="198"/>
      <c r="I47" s="198"/>
      <c r="J47" s="198"/>
      <c r="K47" s="198"/>
      <c r="L47" s="198"/>
    </row>
    <row r="48" spans="1:12" ht="15" customHeight="1" x14ac:dyDescent="0.3">
      <c r="A48" s="198"/>
      <c r="B48" s="198"/>
      <c r="C48" s="198"/>
      <c r="D48" s="198"/>
      <c r="E48" s="198"/>
      <c r="F48" s="198"/>
      <c r="G48" s="198"/>
      <c r="H48" s="198"/>
      <c r="I48" s="198"/>
      <c r="J48" s="198"/>
      <c r="K48" s="198"/>
      <c r="L48" s="198"/>
    </row>
    <row r="49" spans="1:12" ht="15" customHeight="1" x14ac:dyDescent="0.3">
      <c r="A49" s="198"/>
      <c r="B49" s="198"/>
      <c r="C49" s="198"/>
      <c r="D49" s="198"/>
      <c r="E49" s="198"/>
      <c r="F49" s="198"/>
      <c r="G49" s="198"/>
      <c r="H49" s="198"/>
      <c r="I49" s="198"/>
      <c r="J49" s="198"/>
      <c r="K49" s="198"/>
      <c r="L49" s="198"/>
    </row>
    <row r="50" spans="1:12" ht="15" customHeight="1" x14ac:dyDescent="0.3">
      <c r="A50" s="198"/>
      <c r="B50" s="198"/>
      <c r="C50" s="198"/>
      <c r="D50" s="198"/>
      <c r="E50" s="198"/>
      <c r="F50" s="198"/>
      <c r="G50" s="198"/>
      <c r="H50" s="198"/>
      <c r="I50" s="198"/>
      <c r="J50" s="198"/>
      <c r="K50" s="198"/>
      <c r="L50" s="198"/>
    </row>
    <row r="51" spans="1:12" ht="15" customHeight="1" x14ac:dyDescent="0.3">
      <c r="A51" s="198"/>
      <c r="B51" s="198"/>
      <c r="C51" s="198"/>
      <c r="D51" s="198"/>
      <c r="E51" s="198"/>
      <c r="F51" s="198"/>
      <c r="G51" s="198"/>
      <c r="H51" s="198"/>
      <c r="I51" s="198"/>
      <c r="J51" s="198"/>
      <c r="K51" s="198"/>
      <c r="L51" s="198"/>
    </row>
    <row r="52" spans="1:12" ht="15" customHeight="1" x14ac:dyDescent="0.3">
      <c r="A52" s="198"/>
      <c r="B52" s="198"/>
      <c r="C52" s="198"/>
      <c r="D52" s="198"/>
      <c r="E52" s="198"/>
      <c r="F52" s="198"/>
      <c r="G52" s="198"/>
      <c r="H52" s="198"/>
      <c r="I52" s="198"/>
      <c r="J52" s="198"/>
      <c r="K52" s="198"/>
      <c r="L52" s="198"/>
    </row>
    <row r="53" spans="1:12" ht="15" customHeight="1" x14ac:dyDescent="0.3">
      <c r="A53" s="198"/>
      <c r="B53" s="198"/>
      <c r="C53" s="198"/>
      <c r="D53" s="198"/>
      <c r="E53" s="198"/>
      <c r="F53" s="198"/>
      <c r="G53" s="198"/>
      <c r="H53" s="198"/>
      <c r="I53" s="198"/>
      <c r="J53" s="198"/>
      <c r="K53" s="198"/>
      <c r="L53" s="198"/>
    </row>
    <row r="54" spans="1:12" ht="15" customHeight="1" x14ac:dyDescent="0.3">
      <c r="A54" s="198"/>
      <c r="B54" s="198"/>
      <c r="C54" s="198"/>
      <c r="D54" s="198"/>
      <c r="E54" s="198"/>
      <c r="F54" s="198"/>
      <c r="G54" s="198"/>
      <c r="H54" s="198"/>
      <c r="I54" s="198"/>
      <c r="J54" s="198"/>
      <c r="K54" s="198"/>
      <c r="L54" s="198"/>
    </row>
    <row r="55" spans="1:12" ht="15" customHeight="1" x14ac:dyDescent="0.3">
      <c r="A55" s="198"/>
      <c r="B55" s="198"/>
      <c r="C55" s="198"/>
      <c r="D55" s="198"/>
      <c r="E55" s="198"/>
      <c r="F55" s="198"/>
      <c r="G55" s="198"/>
      <c r="H55" s="198"/>
      <c r="I55" s="198"/>
      <c r="J55" s="198"/>
      <c r="K55" s="198"/>
      <c r="L55" s="198"/>
    </row>
    <row r="56" spans="1:12" ht="15" customHeight="1" x14ac:dyDescent="0.3">
      <c r="A56" s="198"/>
      <c r="B56" s="198"/>
      <c r="C56" s="198"/>
      <c r="D56" s="198"/>
      <c r="E56" s="198"/>
      <c r="F56" s="198"/>
      <c r="G56" s="198"/>
      <c r="H56" s="198"/>
      <c r="I56" s="198"/>
      <c r="J56" s="198"/>
      <c r="K56" s="198"/>
      <c r="L56" s="198"/>
    </row>
    <row r="57" spans="1:12" ht="15" customHeight="1" x14ac:dyDescent="0.3">
      <c r="A57" s="198"/>
      <c r="B57" s="198"/>
      <c r="C57" s="198"/>
      <c r="D57" s="198"/>
      <c r="E57" s="198"/>
      <c r="F57" s="198"/>
      <c r="G57" s="198"/>
      <c r="H57" s="198"/>
      <c r="I57" s="198"/>
      <c r="J57" s="198"/>
      <c r="K57" s="198"/>
      <c r="L57" s="198"/>
    </row>
    <row r="58" spans="1:12" ht="15" customHeight="1" x14ac:dyDescent="0.3">
      <c r="A58" s="198"/>
      <c r="B58" s="198"/>
      <c r="C58" s="198"/>
      <c r="D58" s="198"/>
      <c r="E58" s="198"/>
      <c r="F58" s="198"/>
      <c r="G58" s="198"/>
      <c r="H58" s="198"/>
      <c r="I58" s="198"/>
      <c r="J58" s="198"/>
      <c r="K58" s="198"/>
      <c r="L58" s="198"/>
    </row>
    <row r="59" spans="1:12" ht="15" customHeight="1" x14ac:dyDescent="0.3">
      <c r="A59" s="198"/>
      <c r="B59" s="198"/>
      <c r="C59" s="198"/>
      <c r="D59" s="198"/>
      <c r="E59" s="198"/>
      <c r="F59" s="198"/>
      <c r="G59" s="198"/>
      <c r="H59" s="198"/>
      <c r="I59" s="198"/>
      <c r="J59" s="198"/>
      <c r="K59" s="198"/>
      <c r="L59" s="198"/>
    </row>
    <row r="60" spans="1:12" ht="15" customHeight="1" x14ac:dyDescent="0.3">
      <c r="A60" s="198"/>
      <c r="B60" s="198"/>
      <c r="C60" s="198"/>
      <c r="D60" s="198"/>
      <c r="E60" s="198"/>
      <c r="F60" s="198"/>
      <c r="G60" s="198"/>
      <c r="H60" s="198"/>
      <c r="I60" s="198"/>
      <c r="J60" s="198"/>
      <c r="K60" s="198"/>
      <c r="L60" s="198"/>
    </row>
    <row r="61" spans="1:12" ht="15" customHeight="1" x14ac:dyDescent="0.3">
      <c r="A61" s="198"/>
      <c r="B61" s="198"/>
      <c r="C61" s="198"/>
      <c r="D61" s="198"/>
      <c r="E61" s="198"/>
      <c r="F61" s="198"/>
      <c r="G61" s="198"/>
      <c r="H61" s="198"/>
      <c r="I61" s="198"/>
      <c r="J61" s="198"/>
      <c r="K61" s="198"/>
      <c r="L61" s="198"/>
    </row>
  </sheetData>
  <mergeCells count="8">
    <mergeCell ref="A19:F19"/>
    <mergeCell ref="A30:C30"/>
    <mergeCell ref="A32:F32"/>
    <mergeCell ref="A2:N2"/>
    <mergeCell ref="K6:N6"/>
    <mergeCell ref="K7:N7"/>
    <mergeCell ref="K8:N8"/>
    <mergeCell ref="K9:N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6"/>
  <sheetViews>
    <sheetView showGridLines="0" topLeftCell="A47" zoomScaleNormal="100" workbookViewId="0">
      <selection activeCell="E67" sqref="E67"/>
    </sheetView>
  </sheetViews>
  <sheetFormatPr defaultColWidth="8.6640625" defaultRowHeight="14.4" x14ac:dyDescent="0.3"/>
  <cols>
    <col min="1" max="1" width="36" customWidth="1"/>
    <col min="2" max="2" width="16" customWidth="1"/>
    <col min="3" max="3" width="40" customWidth="1"/>
    <col min="4" max="4" width="14" customWidth="1"/>
    <col min="5" max="5" width="36" customWidth="1"/>
    <col min="6" max="6" width="14" customWidth="1"/>
    <col min="7" max="7" width="36" customWidth="1"/>
    <col min="8" max="8" width="14" customWidth="1"/>
    <col min="9" max="9" width="36" customWidth="1"/>
    <col min="10" max="10" width="1" customWidth="1"/>
  </cols>
  <sheetData>
    <row r="1" spans="1:10" ht="27.75" customHeight="1" x14ac:dyDescent="0.3">
      <c r="A1" s="7" t="s">
        <v>614</v>
      </c>
      <c r="B1" s="7"/>
      <c r="C1" s="7"/>
      <c r="D1" s="7"/>
      <c r="E1" s="7"/>
      <c r="F1" s="7"/>
      <c r="G1" s="7"/>
      <c r="H1" s="7"/>
      <c r="I1" s="7"/>
      <c r="J1" s="7"/>
    </row>
    <row r="2" spans="1:10" ht="12.75" customHeight="1" x14ac:dyDescent="0.3">
      <c r="A2" s="6" t="s">
        <v>615</v>
      </c>
      <c r="B2" s="6"/>
      <c r="C2" s="6"/>
      <c r="D2" s="6"/>
      <c r="E2" s="6"/>
      <c r="F2" s="6"/>
      <c r="G2" s="6"/>
      <c r="H2" s="6"/>
      <c r="I2" s="6"/>
      <c r="J2" s="6"/>
    </row>
    <row r="4" spans="1:10" ht="18" customHeight="1" x14ac:dyDescent="0.3">
      <c r="A4" s="404" t="s">
        <v>616</v>
      </c>
      <c r="B4" s="404"/>
      <c r="C4" s="404"/>
      <c r="D4" s="404"/>
      <c r="E4" s="404"/>
      <c r="F4" s="404"/>
      <c r="G4" s="404"/>
      <c r="H4" s="404"/>
      <c r="I4" s="404"/>
      <c r="J4" s="404"/>
    </row>
    <row r="5" spans="1:10" ht="13.5" customHeight="1" x14ac:dyDescent="0.3">
      <c r="A5" s="405" t="s">
        <v>617</v>
      </c>
      <c r="B5" s="405"/>
      <c r="C5" s="405"/>
      <c r="D5" s="405"/>
      <c r="E5" s="405"/>
      <c r="F5" s="405"/>
      <c r="G5" s="405"/>
      <c r="H5" s="405"/>
      <c r="I5" s="405"/>
      <c r="J5" s="405"/>
    </row>
    <row r="6" spans="1:10" ht="27.75" customHeight="1" x14ac:dyDescent="0.3">
      <c r="A6" s="175" t="s">
        <v>522</v>
      </c>
      <c r="B6" s="175" t="s">
        <v>618</v>
      </c>
      <c r="C6" s="175" t="s">
        <v>619</v>
      </c>
      <c r="D6" s="175" t="s">
        <v>620</v>
      </c>
      <c r="E6" s="175" t="s">
        <v>621</v>
      </c>
      <c r="F6" s="175" t="s">
        <v>540</v>
      </c>
      <c r="G6" s="175" t="s">
        <v>622</v>
      </c>
      <c r="H6" s="175" t="s">
        <v>540</v>
      </c>
      <c r="I6" s="175" t="s">
        <v>243</v>
      </c>
      <c r="J6" s="175"/>
    </row>
    <row r="7" spans="1:10" ht="18" customHeight="1" x14ac:dyDescent="0.3">
      <c r="A7" s="18" t="s">
        <v>527</v>
      </c>
      <c r="B7" s="37">
        <f>Assumptions!C6</f>
        <v>7775.51</v>
      </c>
      <c r="C7" s="37">
        <f>B7*Assumptions!C11</f>
        <v>8350.8977400000003</v>
      </c>
      <c r="D7" s="206" t="s">
        <v>623</v>
      </c>
      <c r="E7" s="203">
        <v>0</v>
      </c>
      <c r="F7" s="237">
        <v>0</v>
      </c>
      <c r="G7" s="179">
        <v>0</v>
      </c>
      <c r="H7" s="206" t="s">
        <v>624</v>
      </c>
      <c r="I7" s="406" t="s">
        <v>625</v>
      </c>
      <c r="J7" s="406"/>
    </row>
    <row r="8" spans="1:10" ht="18" customHeight="1" x14ac:dyDescent="0.3">
      <c r="A8" s="18" t="s">
        <v>529</v>
      </c>
      <c r="B8" s="191">
        <f>Assumptions!C7</f>
        <v>7401.73</v>
      </c>
      <c r="C8" s="191">
        <f>B8*Assumptions!C11</f>
        <v>7949.45802</v>
      </c>
      <c r="D8" s="200" t="s">
        <v>626</v>
      </c>
      <c r="E8" s="199">
        <v>0</v>
      </c>
      <c r="F8" s="238">
        <v>0</v>
      </c>
      <c r="G8" s="179">
        <v>0</v>
      </c>
      <c r="H8" s="200" t="s">
        <v>627</v>
      </c>
      <c r="I8" s="407" t="s">
        <v>625</v>
      </c>
      <c r="J8" s="407"/>
    </row>
    <row r="9" spans="1:10" ht="18" customHeight="1" x14ac:dyDescent="0.3">
      <c r="A9" s="18" t="s">
        <v>530</v>
      </c>
      <c r="B9" s="37">
        <f>Assumptions!C8</f>
        <v>165555.92000000001</v>
      </c>
      <c r="C9" s="37">
        <f>B9*Assumptions!C11</f>
        <v>177807.05808000002</v>
      </c>
      <c r="D9" s="206" t="s">
        <v>628</v>
      </c>
      <c r="E9" s="239">
        <f>Assumptions!C27</f>
        <v>0.01</v>
      </c>
      <c r="F9" s="204">
        <f>Assumptions!C27</f>
        <v>0.01</v>
      </c>
      <c r="G9" s="240">
        <f>C9*E9</f>
        <v>1778.0705808000002</v>
      </c>
      <c r="H9" s="206" t="s">
        <v>629</v>
      </c>
      <c r="I9" s="406" t="s">
        <v>630</v>
      </c>
      <c r="J9" s="406"/>
    </row>
    <row r="10" spans="1:10" ht="18" customHeight="1" x14ac:dyDescent="0.3">
      <c r="A10" s="18" t="s">
        <v>532</v>
      </c>
      <c r="B10" s="191">
        <f>Assumptions!C9</f>
        <v>3195.69</v>
      </c>
      <c r="C10" s="191">
        <f>B10*Assumptions!C11</f>
        <v>3432.1710600000001</v>
      </c>
      <c r="D10" s="200" t="s">
        <v>631</v>
      </c>
      <c r="E10" s="239">
        <f>Assumptions!C28</f>
        <v>0.03</v>
      </c>
      <c r="F10" s="202">
        <f>Assumptions!C28</f>
        <v>0.03</v>
      </c>
      <c r="G10" s="240">
        <f>C10*E10</f>
        <v>102.96513179999999</v>
      </c>
      <c r="H10" s="200" t="s">
        <v>632</v>
      </c>
      <c r="I10" s="407" t="s">
        <v>630</v>
      </c>
      <c r="J10" s="407"/>
    </row>
    <row r="11" spans="1:10" ht="18" customHeight="1" x14ac:dyDescent="0.3">
      <c r="A11" s="18" t="s">
        <v>534</v>
      </c>
      <c r="B11" s="37">
        <f>Assumptions!C10</f>
        <v>882775.79</v>
      </c>
      <c r="C11" s="37">
        <f>B11*Assumptions!C11</f>
        <v>948101.1984600001</v>
      </c>
      <c r="D11" s="206" t="s">
        <v>633</v>
      </c>
      <c r="E11" s="239">
        <f>Assumptions!C29</f>
        <v>2.1999999999999999E-2</v>
      </c>
      <c r="F11" s="204">
        <f>Assumptions!C29</f>
        <v>2.1999999999999999E-2</v>
      </c>
      <c r="G11" s="240">
        <f>C11*E11</f>
        <v>20858.226366120001</v>
      </c>
      <c r="H11" s="206" t="s">
        <v>634</v>
      </c>
      <c r="I11" s="406" t="s">
        <v>635</v>
      </c>
      <c r="J11" s="406"/>
    </row>
    <row r="12" spans="1:10" ht="15" customHeight="1" x14ac:dyDescent="0.3">
      <c r="A12" s="408" t="s">
        <v>636</v>
      </c>
      <c r="B12" s="408"/>
      <c r="C12" s="408"/>
      <c r="D12" s="408"/>
      <c r="E12" s="408"/>
      <c r="F12" s="408"/>
      <c r="G12" s="241">
        <f>SUM(G7:G11)</f>
        <v>22739.262078720003</v>
      </c>
      <c r="H12" s="409" t="s">
        <v>637</v>
      </c>
      <c r="I12" s="409"/>
      <c r="J12" s="409"/>
    </row>
    <row r="14" spans="1:10" ht="18" customHeight="1" x14ac:dyDescent="0.3">
      <c r="A14" s="1" t="s">
        <v>638</v>
      </c>
      <c r="B14" s="1"/>
      <c r="C14" s="1"/>
      <c r="D14" s="1"/>
      <c r="E14" s="1"/>
      <c r="F14" s="1"/>
      <c r="G14" s="1"/>
      <c r="H14" s="1"/>
      <c r="I14" s="1"/>
      <c r="J14" s="1"/>
    </row>
    <row r="15" spans="1:10" ht="13.5" customHeight="1" x14ac:dyDescent="0.3">
      <c r="A15" s="410" t="s">
        <v>639</v>
      </c>
      <c r="B15" s="410"/>
      <c r="C15" s="410"/>
      <c r="D15" s="410"/>
      <c r="E15" s="410"/>
      <c r="F15" s="410"/>
      <c r="G15" s="410"/>
      <c r="H15" s="410"/>
      <c r="I15" s="410"/>
      <c r="J15" s="410"/>
    </row>
    <row r="16" spans="1:10" ht="27.75" customHeight="1" x14ac:dyDescent="0.3">
      <c r="A16" s="42" t="s">
        <v>640</v>
      </c>
      <c r="B16" s="42" t="s">
        <v>641</v>
      </c>
      <c r="C16" s="42" t="s">
        <v>642</v>
      </c>
      <c r="D16" s="42" t="s">
        <v>643</v>
      </c>
      <c r="E16" s="42" t="s">
        <v>644</v>
      </c>
      <c r="F16" s="42" t="s">
        <v>645</v>
      </c>
      <c r="G16" s="42" t="s">
        <v>646</v>
      </c>
      <c r="H16" s="42" t="s">
        <v>647</v>
      </c>
      <c r="I16" s="42" t="s">
        <v>540</v>
      </c>
      <c r="J16" s="42" t="s">
        <v>243</v>
      </c>
    </row>
    <row r="17" spans="1:10" ht="19.5" customHeight="1" x14ac:dyDescent="0.3">
      <c r="A17" s="23" t="s">
        <v>648</v>
      </c>
      <c r="B17" s="213">
        <f>Assumptions!C18</f>
        <v>316261.82178000006</v>
      </c>
      <c r="C17" s="206" t="s">
        <v>649</v>
      </c>
      <c r="D17" s="242">
        <f>Assumptions!C30</f>
        <v>8.6999999999999994E-2</v>
      </c>
      <c r="E17" s="242">
        <f>Assumptions!C31</f>
        <v>8.3000000000000004E-2</v>
      </c>
      <c r="F17" s="242">
        <f>Assumptions!C32</f>
        <v>7.0000000000000007E-2</v>
      </c>
      <c r="G17" s="242">
        <f>Assumptions!C33</f>
        <v>0.05</v>
      </c>
      <c r="H17" s="243">
        <v>19494.400000000001</v>
      </c>
      <c r="I17" s="208" t="s">
        <v>650</v>
      </c>
      <c r="J17" s="183" t="s">
        <v>651</v>
      </c>
    </row>
    <row r="18" spans="1:10" ht="19.5" customHeight="1" x14ac:dyDescent="0.3">
      <c r="A18" s="23" t="s">
        <v>652</v>
      </c>
      <c r="B18" s="216">
        <f>Assumptions!C19</f>
        <v>829378.96158</v>
      </c>
      <c r="C18" s="200" t="s">
        <v>653</v>
      </c>
      <c r="D18" s="242">
        <f>Assumptions!C30</f>
        <v>8.6999999999999994E-2</v>
      </c>
      <c r="E18" s="242">
        <f>Assumptions!C31</f>
        <v>8.3000000000000004E-2</v>
      </c>
      <c r="F18" s="242">
        <f>Assumptions!C32</f>
        <v>7.0000000000000007E-2</v>
      </c>
      <c r="G18" s="242">
        <f>Assumptions!C33</f>
        <v>0.05</v>
      </c>
      <c r="H18" s="243">
        <v>45150.25</v>
      </c>
      <c r="I18" s="208" t="s">
        <v>654</v>
      </c>
      <c r="J18" s="178" t="s">
        <v>655</v>
      </c>
    </row>
    <row r="19" spans="1:10" ht="15" customHeight="1" x14ac:dyDescent="0.3">
      <c r="A19" s="411" t="s">
        <v>656</v>
      </c>
      <c r="B19" s="411"/>
      <c r="C19" s="411"/>
      <c r="D19" s="411"/>
      <c r="E19" s="411"/>
      <c r="F19" s="411"/>
      <c r="G19" s="411"/>
      <c r="H19" s="244">
        <f>SUM(H17:H18)</f>
        <v>64644.65</v>
      </c>
      <c r="I19" s="412" t="s">
        <v>657</v>
      </c>
      <c r="J19" s="412"/>
    </row>
    <row r="21" spans="1:10" ht="18" customHeight="1" x14ac:dyDescent="0.3">
      <c r="A21" s="361" t="s">
        <v>658</v>
      </c>
      <c r="B21" s="361"/>
      <c r="C21" s="361"/>
      <c r="D21" s="361"/>
      <c r="E21" s="361"/>
      <c r="F21" s="361"/>
      <c r="G21" s="361"/>
      <c r="H21" s="361"/>
      <c r="I21" s="361"/>
      <c r="J21" s="361"/>
    </row>
    <row r="22" spans="1:10" ht="13.5" customHeight="1" x14ac:dyDescent="0.3">
      <c r="A22" s="405" t="s">
        <v>659</v>
      </c>
      <c r="B22" s="405"/>
      <c r="C22" s="405"/>
      <c r="D22" s="405"/>
      <c r="E22" s="405"/>
      <c r="F22" s="405"/>
      <c r="G22" s="405"/>
      <c r="H22" s="405"/>
      <c r="I22" s="405"/>
      <c r="J22" s="405"/>
    </row>
    <row r="23" spans="1:10" ht="27.75" customHeight="1" x14ac:dyDescent="0.3">
      <c r="A23" s="47" t="s">
        <v>660</v>
      </c>
      <c r="B23" s="47" t="s">
        <v>661</v>
      </c>
      <c r="C23" s="47" t="s">
        <v>662</v>
      </c>
      <c r="D23" s="47" t="s">
        <v>663</v>
      </c>
      <c r="E23" s="47" t="s">
        <v>664</v>
      </c>
      <c r="F23" s="47" t="s">
        <v>665</v>
      </c>
      <c r="G23" s="47" t="s">
        <v>540</v>
      </c>
      <c r="H23" s="47" t="s">
        <v>666</v>
      </c>
      <c r="I23" s="47" t="s">
        <v>540</v>
      </c>
      <c r="J23" s="47" t="s">
        <v>243</v>
      </c>
    </row>
    <row r="24" spans="1:10" ht="18" customHeight="1" x14ac:dyDescent="0.3">
      <c r="A24" s="22" t="s">
        <v>667</v>
      </c>
      <c r="B24" s="191">
        <f>Assumptions!C6+Assumptions!C7</f>
        <v>15177.24</v>
      </c>
      <c r="C24" s="52">
        <v>10</v>
      </c>
      <c r="D24" s="216">
        <f>(B24*1024)/C24</f>
        <v>1554149.3759999999</v>
      </c>
      <c r="E24" s="200" t="s">
        <v>668</v>
      </c>
      <c r="F24" s="246">
        <f>Assumptions!C45</f>
        <v>5.0000000000000001E-3</v>
      </c>
      <c r="G24" s="202">
        <f>Assumptions!C45</f>
        <v>5.0000000000000001E-3</v>
      </c>
      <c r="H24" s="240">
        <f>(D24/1000)*F24</f>
        <v>7.770746879999999</v>
      </c>
      <c r="I24" s="200" t="s">
        <v>669</v>
      </c>
      <c r="J24" s="178" t="s">
        <v>670</v>
      </c>
    </row>
    <row r="25" spans="1:10" ht="18" customHeight="1" x14ac:dyDescent="0.3">
      <c r="A25" s="22" t="s">
        <v>671</v>
      </c>
      <c r="B25" s="37">
        <f>Assumptions!C8</f>
        <v>165555.92000000001</v>
      </c>
      <c r="C25" s="52">
        <v>50</v>
      </c>
      <c r="D25" s="213">
        <f>(B25*1024)/C25</f>
        <v>3390585.2416000003</v>
      </c>
      <c r="E25" s="206" t="s">
        <v>672</v>
      </c>
      <c r="F25" s="247">
        <f>Assumptions!C46</f>
        <v>0.01</v>
      </c>
      <c r="G25" s="204">
        <f>Assumptions!C46</f>
        <v>0.01</v>
      </c>
      <c r="H25" s="240">
        <f>(D25/1000)*F25</f>
        <v>33.905852416000002</v>
      </c>
      <c r="I25" s="206" t="s">
        <v>669</v>
      </c>
      <c r="J25" s="183" t="s">
        <v>673</v>
      </c>
    </row>
    <row r="26" spans="1:10" ht="18" customHeight="1" x14ac:dyDescent="0.3">
      <c r="A26" s="22" t="s">
        <v>674</v>
      </c>
      <c r="B26" s="191">
        <f>Assumptions!C9</f>
        <v>3195.69</v>
      </c>
      <c r="C26" s="52">
        <v>200</v>
      </c>
      <c r="D26" s="216">
        <f>(B26*1024)/C26</f>
        <v>16361.9328</v>
      </c>
      <c r="E26" s="200" t="s">
        <v>675</v>
      </c>
      <c r="F26" s="246">
        <f>Assumptions!C45</f>
        <v>5.0000000000000001E-3</v>
      </c>
      <c r="G26" s="202">
        <f>Assumptions!C45</f>
        <v>5.0000000000000001E-3</v>
      </c>
      <c r="H26" s="240">
        <f>(D26/1000)*F26</f>
        <v>8.1809664000000004E-2</v>
      </c>
      <c r="I26" s="200" t="s">
        <v>669</v>
      </c>
      <c r="J26" s="178" t="s">
        <v>676</v>
      </c>
    </row>
    <row r="27" spans="1:10" ht="18" customHeight="1" x14ac:dyDescent="0.3">
      <c r="A27" s="22" t="s">
        <v>677</v>
      </c>
      <c r="B27" s="37">
        <f>Assumptions!C10</f>
        <v>882775.79</v>
      </c>
      <c r="C27" s="52">
        <v>500</v>
      </c>
      <c r="D27" s="213">
        <f>(B27*1024)/C27</f>
        <v>1807924.8179200001</v>
      </c>
      <c r="E27" s="206" t="s">
        <v>678</v>
      </c>
      <c r="F27" s="247">
        <f>Assumptions!C47</f>
        <v>0.05</v>
      </c>
      <c r="G27" s="204">
        <f>Assumptions!C47</f>
        <v>0.05</v>
      </c>
      <c r="H27" s="240">
        <f>(D27/1000)*F27</f>
        <v>90.396240896000009</v>
      </c>
      <c r="I27" s="206" t="s">
        <v>669</v>
      </c>
      <c r="J27" s="183" t="s">
        <v>679</v>
      </c>
    </row>
    <row r="28" spans="1:10" ht="15" customHeight="1" x14ac:dyDescent="0.3">
      <c r="A28" s="403" t="s">
        <v>680</v>
      </c>
      <c r="B28" s="403"/>
      <c r="C28" s="403"/>
      <c r="D28" s="403"/>
      <c r="E28" s="403"/>
      <c r="F28" s="403"/>
      <c r="G28" s="403"/>
      <c r="H28" s="221">
        <f>SUM(H24:H27)</f>
        <v>132.15464985599999</v>
      </c>
      <c r="I28" s="413" t="s">
        <v>681</v>
      </c>
      <c r="J28" s="413"/>
    </row>
    <row r="30" spans="1:10" ht="18" customHeight="1" x14ac:dyDescent="0.3">
      <c r="A30" s="380" t="s">
        <v>682</v>
      </c>
      <c r="B30" s="380"/>
      <c r="C30" s="380"/>
      <c r="D30" s="380"/>
      <c r="E30" s="380"/>
      <c r="F30" s="380"/>
      <c r="G30" s="380"/>
      <c r="H30" s="380"/>
      <c r="I30" s="380"/>
      <c r="J30" s="380"/>
    </row>
    <row r="31" spans="1:10" ht="13.5" customHeight="1" x14ac:dyDescent="0.3">
      <c r="A31" s="414" t="s">
        <v>683</v>
      </c>
      <c r="B31" s="414"/>
      <c r="C31" s="414"/>
      <c r="D31" s="414"/>
      <c r="E31" s="414"/>
      <c r="F31" s="414"/>
      <c r="G31" s="414"/>
      <c r="H31" s="414"/>
      <c r="I31" s="414"/>
      <c r="J31" s="414"/>
    </row>
    <row r="32" spans="1:10" ht="27.75" customHeight="1" x14ac:dyDescent="0.3">
      <c r="A32" s="107" t="s">
        <v>684</v>
      </c>
      <c r="B32" s="107" t="s">
        <v>685</v>
      </c>
      <c r="C32" s="107" t="s">
        <v>663</v>
      </c>
      <c r="D32" s="107" t="s">
        <v>540</v>
      </c>
      <c r="E32" s="107" t="s">
        <v>686</v>
      </c>
      <c r="F32" s="107" t="s">
        <v>540</v>
      </c>
      <c r="G32" s="107" t="s">
        <v>687</v>
      </c>
      <c r="H32" s="107" t="s">
        <v>540</v>
      </c>
      <c r="I32" s="107" t="s">
        <v>688</v>
      </c>
      <c r="J32" s="107"/>
    </row>
    <row r="33" spans="1:10" ht="19.5" customHeight="1" x14ac:dyDescent="0.3">
      <c r="A33" s="22" t="s">
        <v>689</v>
      </c>
      <c r="B33" s="40" t="s">
        <v>690</v>
      </c>
      <c r="C33" s="248">
        <f>D24+D25+D26+D27</f>
        <v>6769021.3683200004</v>
      </c>
      <c r="D33" s="209" t="s">
        <v>691</v>
      </c>
      <c r="E33" s="249">
        <v>0</v>
      </c>
      <c r="F33" s="250">
        <v>0</v>
      </c>
      <c r="G33" s="179">
        <v>0</v>
      </c>
      <c r="H33" s="209" t="s">
        <v>692</v>
      </c>
      <c r="I33" s="415" t="s">
        <v>693</v>
      </c>
      <c r="J33" s="415"/>
    </row>
    <row r="34" spans="1:10" ht="19.5" customHeight="1" x14ac:dyDescent="0.3">
      <c r="A34" s="23" t="s">
        <v>694</v>
      </c>
      <c r="B34" s="45" t="s">
        <v>695</v>
      </c>
      <c r="C34" s="251">
        <f>D25</f>
        <v>3390585.2416000003</v>
      </c>
      <c r="D34" s="208" t="s">
        <v>696</v>
      </c>
      <c r="E34" s="252">
        <f>Assumptions!C46</f>
        <v>0.01</v>
      </c>
      <c r="F34" s="253">
        <f>Assumptions!C46</f>
        <v>0.01</v>
      </c>
      <c r="G34" s="240">
        <f>(C34/1000)*E34</f>
        <v>33.905852416000002</v>
      </c>
      <c r="H34" s="208" t="s">
        <v>697</v>
      </c>
      <c r="I34" s="416" t="s">
        <v>698</v>
      </c>
      <c r="J34" s="416"/>
    </row>
    <row r="35" spans="1:10" ht="19.5" customHeight="1" x14ac:dyDescent="0.3">
      <c r="A35" s="23" t="s">
        <v>699</v>
      </c>
      <c r="B35" s="45" t="s">
        <v>700</v>
      </c>
      <c r="C35" s="251">
        <f>D27</f>
        <v>1807924.8179200001</v>
      </c>
      <c r="D35" s="208" t="s">
        <v>701</v>
      </c>
      <c r="E35" s="252">
        <f>Assumptions!C47</f>
        <v>0.05</v>
      </c>
      <c r="F35" s="253">
        <f>Assumptions!C47</f>
        <v>0.05</v>
      </c>
      <c r="G35" s="240">
        <f>(C35/1000)*E35</f>
        <v>90.396240896000009</v>
      </c>
      <c r="H35" s="208" t="s">
        <v>697</v>
      </c>
      <c r="I35" s="416" t="s">
        <v>702</v>
      </c>
      <c r="J35" s="416"/>
    </row>
    <row r="38" spans="1:10" ht="18" customHeight="1" x14ac:dyDescent="0.3">
      <c r="A38" s="5" t="s">
        <v>703</v>
      </c>
      <c r="B38" s="5"/>
      <c r="C38" s="5"/>
      <c r="D38" s="5"/>
      <c r="E38" s="5"/>
      <c r="F38" s="5"/>
      <c r="G38" s="5"/>
      <c r="H38" s="5"/>
      <c r="I38" s="5"/>
      <c r="J38" s="5"/>
    </row>
    <row r="39" spans="1:10" ht="27.75" customHeight="1" x14ac:dyDescent="0.3">
      <c r="A39" s="30" t="s">
        <v>704</v>
      </c>
      <c r="B39" s="30" t="s">
        <v>576</v>
      </c>
      <c r="C39" s="30" t="s">
        <v>705</v>
      </c>
      <c r="D39" s="30" t="s">
        <v>706</v>
      </c>
      <c r="E39" s="30" t="s">
        <v>540</v>
      </c>
      <c r="F39" s="30" t="s">
        <v>707</v>
      </c>
      <c r="G39" s="30" t="s">
        <v>540</v>
      </c>
      <c r="H39" s="30" t="s">
        <v>243</v>
      </c>
      <c r="I39" s="30"/>
      <c r="J39" s="30"/>
    </row>
    <row r="40" spans="1:10" ht="18" customHeight="1" x14ac:dyDescent="0.3">
      <c r="A40" s="18" t="s">
        <v>708</v>
      </c>
      <c r="B40" s="191">
        <f>Assumptions!C15</f>
        <v>1145640.7833600002</v>
      </c>
      <c r="C40" s="200" t="s">
        <v>709</v>
      </c>
      <c r="D40" s="217">
        <f>Assumptions!C62</f>
        <v>1.2500000000000001E-2</v>
      </c>
      <c r="E40" s="200" t="s">
        <v>710</v>
      </c>
      <c r="F40" s="240">
        <f t="shared" ref="F40:F45" si="0">B40*D40</f>
        <v>14320.509792000004</v>
      </c>
      <c r="G40" s="200" t="s">
        <v>711</v>
      </c>
      <c r="H40" s="407" t="s">
        <v>712</v>
      </c>
      <c r="I40" s="407"/>
      <c r="J40" s="407"/>
    </row>
    <row r="41" spans="1:10" ht="18" customHeight="1" x14ac:dyDescent="0.3">
      <c r="A41" s="22" t="s">
        <v>713</v>
      </c>
      <c r="B41" s="37">
        <f>Assumptions!C53</f>
        <v>5</v>
      </c>
      <c r="C41" s="206" t="s">
        <v>714</v>
      </c>
      <c r="D41" s="243">
        <v>500</v>
      </c>
      <c r="E41" s="206" t="s">
        <v>715</v>
      </c>
      <c r="F41" s="240">
        <f t="shared" si="0"/>
        <v>2500</v>
      </c>
      <c r="G41" s="206" t="s">
        <v>711</v>
      </c>
      <c r="H41" s="362" t="s">
        <v>716</v>
      </c>
      <c r="I41" s="362"/>
      <c r="J41" s="362"/>
    </row>
    <row r="42" spans="1:10" ht="18" customHeight="1" x14ac:dyDescent="0.3">
      <c r="A42" s="18" t="s">
        <v>717</v>
      </c>
      <c r="B42" s="254">
        <v>1</v>
      </c>
      <c r="C42" s="200" t="s">
        <v>718</v>
      </c>
      <c r="D42" s="243">
        <v>500</v>
      </c>
      <c r="E42" s="200" t="s">
        <v>719</v>
      </c>
      <c r="F42" s="240">
        <f t="shared" si="0"/>
        <v>500</v>
      </c>
      <c r="G42" s="200" t="s">
        <v>711</v>
      </c>
      <c r="H42" s="407" t="s">
        <v>720</v>
      </c>
      <c r="I42" s="407"/>
      <c r="J42" s="407"/>
    </row>
    <row r="43" spans="1:10" ht="18" customHeight="1" x14ac:dyDescent="0.3">
      <c r="A43" s="18" t="s">
        <v>721</v>
      </c>
      <c r="B43" s="255">
        <v>1</v>
      </c>
      <c r="C43" s="206" t="s">
        <v>718</v>
      </c>
      <c r="D43" s="243">
        <v>500</v>
      </c>
      <c r="E43" s="206" t="s">
        <v>722</v>
      </c>
      <c r="F43" s="240">
        <f t="shared" si="0"/>
        <v>500</v>
      </c>
      <c r="G43" s="206" t="s">
        <v>711</v>
      </c>
      <c r="H43" s="406" t="s">
        <v>723</v>
      </c>
      <c r="I43" s="406"/>
      <c r="J43" s="406"/>
    </row>
    <row r="44" spans="1:10" ht="18" customHeight="1" x14ac:dyDescent="0.3">
      <c r="A44" s="18" t="s">
        <v>724</v>
      </c>
      <c r="B44" s="254">
        <v>1</v>
      </c>
      <c r="C44" s="200" t="s">
        <v>718</v>
      </c>
      <c r="D44" s="243">
        <v>3000</v>
      </c>
      <c r="E44" s="200" t="s">
        <v>725</v>
      </c>
      <c r="F44" s="240">
        <f t="shared" si="0"/>
        <v>3000</v>
      </c>
      <c r="G44" s="200" t="s">
        <v>711</v>
      </c>
      <c r="H44" s="407" t="s">
        <v>726</v>
      </c>
      <c r="I44" s="407"/>
      <c r="J44" s="407"/>
    </row>
    <row r="45" spans="1:10" ht="18" customHeight="1" x14ac:dyDescent="0.3">
      <c r="A45" s="18" t="s">
        <v>727</v>
      </c>
      <c r="B45" s="255">
        <v>1</v>
      </c>
      <c r="C45" s="206" t="s">
        <v>718</v>
      </c>
      <c r="D45" s="243">
        <v>2000</v>
      </c>
      <c r="E45" s="206" t="s">
        <v>728</v>
      </c>
      <c r="F45" s="240">
        <f t="shared" si="0"/>
        <v>2000</v>
      </c>
      <c r="G45" s="206" t="s">
        <v>711</v>
      </c>
      <c r="H45" s="406" t="s">
        <v>729</v>
      </c>
      <c r="I45" s="406"/>
      <c r="J45" s="406"/>
    </row>
    <row r="46" spans="1:10" ht="15" customHeight="1" x14ac:dyDescent="0.3">
      <c r="A46" s="417" t="s">
        <v>730</v>
      </c>
      <c r="B46" s="417"/>
      <c r="C46" s="417"/>
      <c r="D46" s="417"/>
      <c r="E46" s="417"/>
      <c r="F46" s="256">
        <f>SUM(F40:F45)</f>
        <v>22820.509792000004</v>
      </c>
      <c r="G46" s="418" t="s">
        <v>731</v>
      </c>
      <c r="H46" s="418"/>
      <c r="I46" s="418"/>
      <c r="J46" s="418"/>
    </row>
    <row r="48" spans="1:10" ht="18" customHeight="1" x14ac:dyDescent="0.3">
      <c r="A48" s="12" t="s">
        <v>732</v>
      </c>
      <c r="B48" s="12"/>
      <c r="C48" s="12"/>
      <c r="D48" s="12"/>
      <c r="E48" s="12"/>
      <c r="F48" s="12"/>
      <c r="G48" s="12"/>
      <c r="H48" s="12"/>
      <c r="I48" s="12"/>
      <c r="J48" s="12"/>
    </row>
    <row r="49" spans="1:10" ht="27.75" customHeight="1" x14ac:dyDescent="0.3">
      <c r="A49" s="16" t="s">
        <v>598</v>
      </c>
      <c r="B49" s="16" t="s">
        <v>352</v>
      </c>
      <c r="C49" s="16" t="s">
        <v>540</v>
      </c>
      <c r="D49" s="16" t="s">
        <v>526</v>
      </c>
      <c r="E49" s="16" t="s">
        <v>540</v>
      </c>
      <c r="F49" s="16" t="s">
        <v>243</v>
      </c>
      <c r="G49" s="16"/>
      <c r="H49" s="16"/>
      <c r="I49" s="16"/>
      <c r="J49" s="16"/>
    </row>
    <row r="50" spans="1:10" ht="18" customHeight="1" x14ac:dyDescent="0.3">
      <c r="A50" s="18" t="s">
        <v>733</v>
      </c>
      <c r="B50" s="240">
        <f>G12</f>
        <v>22739.262078720003</v>
      </c>
      <c r="C50" s="200" t="s">
        <v>734</v>
      </c>
      <c r="D50" s="257">
        <f>B50/SUM(B50:B55)</f>
        <v>0.18735452093118904</v>
      </c>
      <c r="E50" s="200" t="s">
        <v>735</v>
      </c>
      <c r="F50" s="419"/>
      <c r="G50" s="419"/>
      <c r="H50" s="419"/>
      <c r="I50" s="419"/>
      <c r="J50" s="419"/>
    </row>
    <row r="51" spans="1:10" ht="18" customHeight="1" x14ac:dyDescent="0.3">
      <c r="A51" s="18" t="s">
        <v>736</v>
      </c>
      <c r="B51" s="240">
        <f>H19</f>
        <v>64644.65</v>
      </c>
      <c r="C51" s="206" t="s">
        <v>737</v>
      </c>
      <c r="D51" s="258">
        <f>B51/SUM(B50:B55)</f>
        <v>0.53262359128393255</v>
      </c>
      <c r="E51" s="206" t="s">
        <v>738</v>
      </c>
      <c r="F51" s="420"/>
      <c r="G51" s="420"/>
      <c r="H51" s="420"/>
      <c r="I51" s="420"/>
      <c r="J51" s="420"/>
    </row>
    <row r="52" spans="1:10" ht="18" customHeight="1" x14ac:dyDescent="0.3">
      <c r="A52" s="18" t="s">
        <v>739</v>
      </c>
      <c r="B52" s="240">
        <f>H28</f>
        <v>132.15464985599999</v>
      </c>
      <c r="C52" s="200" t="s">
        <v>740</v>
      </c>
      <c r="D52" s="257">
        <f>B52/SUM(B50:B55)</f>
        <v>1.0888555234063973E-3</v>
      </c>
      <c r="E52" s="200" t="s">
        <v>741</v>
      </c>
      <c r="F52" s="419"/>
      <c r="G52" s="419"/>
      <c r="H52" s="419"/>
      <c r="I52" s="419"/>
      <c r="J52" s="419"/>
    </row>
    <row r="53" spans="1:10" ht="18" customHeight="1" x14ac:dyDescent="0.3">
      <c r="A53" s="18" t="s">
        <v>742</v>
      </c>
      <c r="B53" s="240">
        <f>G33</f>
        <v>0</v>
      </c>
      <c r="C53" s="206" t="s">
        <v>743</v>
      </c>
      <c r="D53" s="258">
        <f>B53/SUM(B50:B55)</f>
        <v>0</v>
      </c>
      <c r="E53" s="206" t="s">
        <v>744</v>
      </c>
      <c r="F53" s="420"/>
      <c r="G53" s="420"/>
      <c r="H53" s="420"/>
      <c r="I53" s="420"/>
      <c r="J53" s="420"/>
    </row>
    <row r="54" spans="1:10" ht="18" customHeight="1" x14ac:dyDescent="0.3">
      <c r="A54" s="18" t="s">
        <v>745</v>
      </c>
      <c r="B54" s="240">
        <f>F46</f>
        <v>22820.509792000004</v>
      </c>
      <c r="C54" s="200" t="s">
        <v>746</v>
      </c>
      <c r="D54" s="257">
        <f>B54/SUM(B50:B55)</f>
        <v>0.18802394135238093</v>
      </c>
      <c r="E54" s="200" t="s">
        <v>747</v>
      </c>
      <c r="F54" s="419"/>
      <c r="G54" s="419"/>
      <c r="H54" s="419"/>
      <c r="I54" s="419"/>
      <c r="J54" s="419"/>
    </row>
    <row r="55" spans="1:10" ht="18" customHeight="1" x14ac:dyDescent="0.3">
      <c r="A55" s="18" t="s">
        <v>748</v>
      </c>
      <c r="B55" s="240">
        <f>SUM(B50:B54)*0.1</f>
        <v>11033.657652057604</v>
      </c>
      <c r="C55" s="206" t="s">
        <v>749</v>
      </c>
      <c r="D55" s="258">
        <f>B55/SUM(B50:B55)</f>
        <v>9.0909090909090912E-2</v>
      </c>
      <c r="E55" s="206" t="s">
        <v>750</v>
      </c>
      <c r="F55" s="420"/>
      <c r="G55" s="420"/>
      <c r="H55" s="420"/>
      <c r="I55" s="420"/>
      <c r="J55" s="420"/>
    </row>
    <row r="56" spans="1:10" ht="27.75" customHeight="1" x14ac:dyDescent="0.3">
      <c r="A56" s="421" t="s">
        <v>751</v>
      </c>
      <c r="B56" s="421"/>
      <c r="C56" s="259">
        <f>SUM(B50:B55)</f>
        <v>121370.23417263363</v>
      </c>
      <c r="D56" s="422" t="s">
        <v>752</v>
      </c>
      <c r="E56" s="422"/>
      <c r="F56" s="422"/>
      <c r="G56" s="422"/>
      <c r="H56" s="422"/>
      <c r="I56" s="422"/>
      <c r="J56" s="422"/>
    </row>
    <row r="58" spans="1:10" ht="18" customHeight="1" x14ac:dyDescent="0.3">
      <c r="A58" s="361" t="s">
        <v>753</v>
      </c>
      <c r="B58" s="361"/>
      <c r="C58" s="361"/>
      <c r="D58" s="361"/>
      <c r="E58" s="361"/>
      <c r="F58" s="361"/>
      <c r="G58" s="361"/>
      <c r="H58" s="361"/>
      <c r="I58" s="361"/>
      <c r="J58" s="361"/>
    </row>
    <row r="59" spans="1:10" ht="24" customHeight="1" x14ac:dyDescent="0.3">
      <c r="A59" s="47" t="s">
        <v>433</v>
      </c>
      <c r="B59" s="47" t="s">
        <v>53</v>
      </c>
      <c r="C59" s="47" t="s">
        <v>540</v>
      </c>
      <c r="D59" s="47" t="s">
        <v>243</v>
      </c>
      <c r="E59" s="47"/>
      <c r="F59" s="47"/>
      <c r="G59" s="47"/>
      <c r="H59" s="47"/>
      <c r="I59" s="47"/>
      <c r="J59" s="47"/>
    </row>
    <row r="60" spans="1:10" ht="27.75" customHeight="1" x14ac:dyDescent="0.3">
      <c r="A60" s="22" t="s">
        <v>754</v>
      </c>
      <c r="B60" s="179">
        <f>SUM(B50:B55)</f>
        <v>121370.23417263363</v>
      </c>
      <c r="C60" s="250">
        <f>SUM(B50:B55)</f>
        <v>121370.23417263363</v>
      </c>
      <c r="D60" s="423"/>
      <c r="E60" s="423"/>
      <c r="F60" s="423"/>
      <c r="G60" s="423"/>
      <c r="H60" s="423"/>
      <c r="I60" s="423"/>
      <c r="J60" s="423"/>
    </row>
    <row r="61" spans="1:10" ht="18" customHeight="1" x14ac:dyDescent="0.3">
      <c r="A61" s="22" t="s">
        <v>755</v>
      </c>
      <c r="B61" s="180">
        <f>Assumptions!C66-'Cost Comparison'!B39</f>
        <v>24959.124229647299</v>
      </c>
      <c r="C61" s="260" t="s">
        <v>756</v>
      </c>
      <c r="D61" s="420"/>
      <c r="E61" s="420"/>
      <c r="F61" s="420"/>
      <c r="G61" s="420"/>
      <c r="H61" s="420"/>
      <c r="I61" s="420"/>
      <c r="J61" s="420"/>
    </row>
    <row r="62" spans="1:10" ht="22.5" customHeight="1" x14ac:dyDescent="0.3">
      <c r="A62" s="22" t="s">
        <v>757</v>
      </c>
      <c r="B62" s="261">
        <f>(B60+'Financial Model (Jun26-Dec30)'!B11)/B61</f>
        <v>5.6864124264443081</v>
      </c>
      <c r="C62" s="50" t="s">
        <v>758</v>
      </c>
      <c r="D62" s="415" t="s">
        <v>759</v>
      </c>
      <c r="E62" s="415"/>
      <c r="F62" s="415"/>
      <c r="G62" s="415"/>
      <c r="H62" s="415"/>
      <c r="I62" s="415"/>
      <c r="J62" s="415"/>
    </row>
    <row r="63" spans="1:10" ht="35.25" customHeight="1" x14ac:dyDescent="0.3">
      <c r="A63" s="176" t="s">
        <v>760</v>
      </c>
      <c r="B63" s="180">
        <f>B61*12</f>
        <v>299509.49075576756</v>
      </c>
      <c r="C63" s="178" t="s">
        <v>761</v>
      </c>
      <c r="D63" s="407" t="s">
        <v>762</v>
      </c>
      <c r="E63" s="407"/>
      <c r="F63" s="407"/>
      <c r="G63" s="407"/>
      <c r="H63" s="407"/>
      <c r="I63" s="407"/>
      <c r="J63" s="407"/>
    </row>
    <row r="64" spans="1:10" ht="31.5" customHeight="1" x14ac:dyDescent="0.3">
      <c r="A64" s="176" t="s">
        <v>763</v>
      </c>
      <c r="B64" s="180">
        <f>B61*48</f>
        <v>1198037.9630230702</v>
      </c>
      <c r="C64" s="178" t="s">
        <v>764</v>
      </c>
      <c r="D64" s="423"/>
      <c r="E64" s="423"/>
      <c r="F64" s="423"/>
      <c r="G64" s="423"/>
      <c r="H64" s="423"/>
      <c r="I64" s="423"/>
      <c r="J64" s="423"/>
    </row>
    <row r="65" spans="1:4" ht="36.75" customHeight="1" x14ac:dyDescent="0.3">
      <c r="A65" s="25" t="s">
        <v>765</v>
      </c>
      <c r="B65" s="180">
        <f>'Financial Model (Jun26-Dec30)'!H81</f>
        <v>157581.61075576756</v>
      </c>
      <c r="C65" s="224" t="s">
        <v>766</v>
      </c>
      <c r="D65" s="224" t="s">
        <v>767</v>
      </c>
    </row>
    <row r="66" spans="1:4" ht="36.75" customHeight="1" x14ac:dyDescent="0.3">
      <c r="A66" s="25" t="s">
        <v>768</v>
      </c>
      <c r="B66" s="262">
        <f>'Financial Model (Jun26-Dec30)'!H84</f>
        <v>1039378.0486887028</v>
      </c>
      <c r="C66" s="224" t="s">
        <v>769</v>
      </c>
      <c r="D66" s="224" t="s">
        <v>770</v>
      </c>
    </row>
  </sheetData>
  <mergeCells count="48">
    <mergeCell ref="D64:J64"/>
    <mergeCell ref="A58:J58"/>
    <mergeCell ref="D60:J60"/>
    <mergeCell ref="D61:J61"/>
    <mergeCell ref="D62:J62"/>
    <mergeCell ref="D63:J63"/>
    <mergeCell ref="F52:J52"/>
    <mergeCell ref="F53:J53"/>
    <mergeCell ref="F54:J54"/>
    <mergeCell ref="F55:J55"/>
    <mergeCell ref="A56:B56"/>
    <mergeCell ref="D56:J56"/>
    <mergeCell ref="A46:E46"/>
    <mergeCell ref="G46:J46"/>
    <mergeCell ref="A48:J48"/>
    <mergeCell ref="F50:J50"/>
    <mergeCell ref="F51:J51"/>
    <mergeCell ref="H41:J41"/>
    <mergeCell ref="H42:J42"/>
    <mergeCell ref="H43:J43"/>
    <mergeCell ref="H44:J44"/>
    <mergeCell ref="H45:J45"/>
    <mergeCell ref="I33:J33"/>
    <mergeCell ref="I34:J34"/>
    <mergeCell ref="I35:J35"/>
    <mergeCell ref="A38:J38"/>
    <mergeCell ref="H40:J40"/>
    <mergeCell ref="A22:J22"/>
    <mergeCell ref="A28:G28"/>
    <mergeCell ref="I28:J28"/>
    <mergeCell ref="A30:J30"/>
    <mergeCell ref="A31:J31"/>
    <mergeCell ref="A14:J14"/>
    <mergeCell ref="A15:J15"/>
    <mergeCell ref="A19:G19"/>
    <mergeCell ref="I19:J19"/>
    <mergeCell ref="A21:J21"/>
    <mergeCell ref="I8:J8"/>
    <mergeCell ref="I9:J9"/>
    <mergeCell ref="I10:J10"/>
    <mergeCell ref="I11:J11"/>
    <mergeCell ref="A12:F12"/>
    <mergeCell ref="H12:J12"/>
    <mergeCell ref="A1:J1"/>
    <mergeCell ref="A2:J2"/>
    <mergeCell ref="A4:J4"/>
    <mergeCell ref="A5:J5"/>
    <mergeCell ref="I7:J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9"/>
  <sheetViews>
    <sheetView showGridLines="0" zoomScaleNormal="100" workbookViewId="0">
      <selection sqref="A1:H1"/>
    </sheetView>
  </sheetViews>
  <sheetFormatPr defaultColWidth="8.6640625" defaultRowHeight="14.4" x14ac:dyDescent="0.3"/>
  <cols>
    <col min="1" max="1" width="5" customWidth="1"/>
    <col min="2" max="2" width="34" customWidth="1"/>
    <col min="3" max="4" width="10" customWidth="1"/>
    <col min="5" max="5" width="13" customWidth="1"/>
    <col min="6" max="6" width="30" customWidth="1"/>
    <col min="7" max="7" width="12" customWidth="1"/>
    <col min="8" max="8" width="15" customWidth="1"/>
  </cols>
  <sheetData>
    <row r="1" spans="1:8" ht="27.75" customHeight="1" x14ac:dyDescent="0.3">
      <c r="A1" s="7" t="s">
        <v>771</v>
      </c>
      <c r="B1" s="7"/>
      <c r="C1" s="7"/>
      <c r="D1" s="7"/>
      <c r="E1" s="7"/>
      <c r="F1" s="7"/>
      <c r="G1" s="7"/>
      <c r="H1" s="7"/>
    </row>
    <row r="2" spans="1:8" ht="12.75" customHeight="1" x14ac:dyDescent="0.3">
      <c r="A2" s="6" t="s">
        <v>772</v>
      </c>
      <c r="B2" s="6"/>
      <c r="C2" s="6"/>
      <c r="D2" s="6"/>
      <c r="E2" s="6"/>
      <c r="F2" s="6"/>
      <c r="G2" s="6"/>
      <c r="H2" s="6"/>
    </row>
    <row r="4" spans="1:8" ht="18" customHeight="1" x14ac:dyDescent="0.3">
      <c r="A4" s="5" t="s">
        <v>773</v>
      </c>
      <c r="B4" s="5"/>
      <c r="C4" s="5"/>
      <c r="D4" s="5"/>
      <c r="E4" s="5"/>
      <c r="F4" s="5"/>
      <c r="G4" s="5"/>
      <c r="H4" s="5"/>
    </row>
    <row r="5" spans="1:8" ht="27.75" customHeight="1" x14ac:dyDescent="0.3">
      <c r="A5" s="30" t="s">
        <v>3</v>
      </c>
      <c r="B5" s="30" t="s">
        <v>774</v>
      </c>
      <c r="C5" s="30" t="s">
        <v>4</v>
      </c>
      <c r="D5" s="30" t="s">
        <v>775</v>
      </c>
      <c r="E5" s="30" t="s">
        <v>776</v>
      </c>
      <c r="F5" s="30" t="s">
        <v>457</v>
      </c>
      <c r="G5" s="30" t="s">
        <v>397</v>
      </c>
      <c r="H5" s="30"/>
    </row>
    <row r="6" spans="1:8" ht="30" customHeight="1" x14ac:dyDescent="0.3">
      <c r="A6" s="263" t="s">
        <v>7</v>
      </c>
      <c r="B6" s="264" t="s">
        <v>777</v>
      </c>
      <c r="C6" s="62" t="s">
        <v>778</v>
      </c>
      <c r="D6" s="178" t="s">
        <v>779</v>
      </c>
      <c r="E6" s="265" t="s">
        <v>780</v>
      </c>
      <c r="F6" s="264" t="s">
        <v>480</v>
      </c>
      <c r="G6" s="87" t="s">
        <v>781</v>
      </c>
      <c r="H6" s="62"/>
    </row>
    <row r="7" spans="1:8" ht="30" customHeight="1" x14ac:dyDescent="0.3">
      <c r="A7" s="263" t="s">
        <v>11</v>
      </c>
      <c r="B7" s="266" t="s">
        <v>777</v>
      </c>
      <c r="C7" s="69" t="s">
        <v>782</v>
      </c>
      <c r="D7" s="183" t="s">
        <v>58</v>
      </c>
      <c r="E7" s="265" t="s">
        <v>783</v>
      </c>
      <c r="F7" s="266" t="s">
        <v>784</v>
      </c>
      <c r="G7" s="87" t="s">
        <v>781</v>
      </c>
      <c r="H7" s="69"/>
    </row>
    <row r="8" spans="1:8" ht="30" customHeight="1" x14ac:dyDescent="0.3">
      <c r="A8" s="263" t="s">
        <v>15</v>
      </c>
      <c r="B8" s="264" t="s">
        <v>777</v>
      </c>
      <c r="C8" s="62" t="s">
        <v>785</v>
      </c>
      <c r="D8" s="178" t="s">
        <v>786</v>
      </c>
      <c r="E8" s="265" t="s">
        <v>787</v>
      </c>
      <c r="F8" s="264" t="s">
        <v>480</v>
      </c>
      <c r="G8" s="91" t="s">
        <v>788</v>
      </c>
      <c r="H8" s="62"/>
    </row>
    <row r="9" spans="1:8" ht="30" customHeight="1" x14ac:dyDescent="0.3">
      <c r="A9" s="263" t="s">
        <v>19</v>
      </c>
      <c r="B9" s="266" t="s">
        <v>789</v>
      </c>
      <c r="C9" s="69" t="s">
        <v>790</v>
      </c>
      <c r="D9" s="183" t="s">
        <v>791</v>
      </c>
      <c r="E9" s="265" t="s">
        <v>792</v>
      </c>
      <c r="F9" s="266" t="s">
        <v>484</v>
      </c>
      <c r="G9" s="172" t="s">
        <v>793</v>
      </c>
      <c r="H9" s="69"/>
    </row>
    <row r="10" spans="1:8" ht="30" customHeight="1" x14ac:dyDescent="0.3">
      <c r="A10" s="263" t="s">
        <v>23</v>
      </c>
      <c r="B10" s="264" t="s">
        <v>789</v>
      </c>
      <c r="C10" s="62" t="s">
        <v>794</v>
      </c>
      <c r="D10" s="178" t="s">
        <v>795</v>
      </c>
      <c r="E10" s="265" t="s">
        <v>796</v>
      </c>
      <c r="F10" s="264" t="s">
        <v>797</v>
      </c>
      <c r="G10" s="172" t="s">
        <v>798</v>
      </c>
      <c r="H10" s="62"/>
    </row>
    <row r="11" spans="1:8" ht="30" customHeight="1" x14ac:dyDescent="0.3">
      <c r="A11" s="263" t="s">
        <v>27</v>
      </c>
      <c r="B11" s="266" t="s">
        <v>789</v>
      </c>
      <c r="C11" s="69" t="s">
        <v>799</v>
      </c>
      <c r="D11" s="183" t="s">
        <v>800</v>
      </c>
      <c r="E11" s="265" t="s">
        <v>801</v>
      </c>
      <c r="F11" s="266" t="s">
        <v>797</v>
      </c>
      <c r="G11" s="172" t="s">
        <v>793</v>
      </c>
      <c r="H11" s="69"/>
    </row>
    <row r="12" spans="1:8" ht="30" customHeight="1" x14ac:dyDescent="0.3">
      <c r="A12" s="263" t="s">
        <v>31</v>
      </c>
      <c r="B12" s="264" t="s">
        <v>802</v>
      </c>
      <c r="C12" s="62" t="s">
        <v>803</v>
      </c>
      <c r="D12" s="178" t="s">
        <v>804</v>
      </c>
      <c r="E12" s="265" t="s">
        <v>805</v>
      </c>
      <c r="F12" s="264" t="s">
        <v>480</v>
      </c>
      <c r="G12" s="172" t="s">
        <v>806</v>
      </c>
      <c r="H12" s="62"/>
    </row>
    <row r="13" spans="1:8" ht="30" customHeight="1" x14ac:dyDescent="0.3">
      <c r="A13" s="263" t="s">
        <v>35</v>
      </c>
      <c r="B13" s="266" t="s">
        <v>802</v>
      </c>
      <c r="C13" s="69" t="s">
        <v>807</v>
      </c>
      <c r="D13" s="183" t="s">
        <v>808</v>
      </c>
      <c r="E13" s="265" t="s">
        <v>809</v>
      </c>
      <c r="F13" s="266" t="s">
        <v>810</v>
      </c>
      <c r="G13" s="172" t="s">
        <v>811</v>
      </c>
      <c r="H13" s="69"/>
    </row>
    <row r="14" spans="1:8" ht="30" customHeight="1" x14ac:dyDescent="0.3">
      <c r="A14" s="263" t="s">
        <v>39</v>
      </c>
      <c r="B14" s="264" t="s">
        <v>802</v>
      </c>
      <c r="C14" s="62" t="s">
        <v>812</v>
      </c>
      <c r="D14" s="178" t="s">
        <v>813</v>
      </c>
      <c r="E14" s="265" t="s">
        <v>814</v>
      </c>
      <c r="F14" s="264" t="s">
        <v>815</v>
      </c>
      <c r="G14" s="172" t="s">
        <v>816</v>
      </c>
      <c r="H14" s="62"/>
    </row>
    <row r="15" spans="1:8" ht="30" customHeight="1" x14ac:dyDescent="0.3">
      <c r="A15" s="263" t="s">
        <v>63</v>
      </c>
      <c r="B15" s="266" t="s">
        <v>817</v>
      </c>
      <c r="C15" s="69" t="s">
        <v>818</v>
      </c>
      <c r="D15" s="183" t="s">
        <v>819</v>
      </c>
      <c r="E15" s="265" t="s">
        <v>820</v>
      </c>
      <c r="F15" s="266" t="s">
        <v>480</v>
      </c>
      <c r="G15" s="172" t="s">
        <v>821</v>
      </c>
      <c r="H15" s="69"/>
    </row>
    <row r="16" spans="1:8" ht="30" customHeight="1" x14ac:dyDescent="0.3">
      <c r="A16" s="263" t="s">
        <v>65</v>
      </c>
      <c r="B16" s="264" t="s">
        <v>817</v>
      </c>
      <c r="C16" s="62" t="s">
        <v>822</v>
      </c>
      <c r="D16" s="178" t="s">
        <v>823</v>
      </c>
      <c r="E16" s="265" t="s">
        <v>824</v>
      </c>
      <c r="F16" s="264" t="s">
        <v>825</v>
      </c>
      <c r="G16" s="172" t="s">
        <v>793</v>
      </c>
      <c r="H16" s="62"/>
    </row>
    <row r="17" spans="1:9" ht="30" customHeight="1" x14ac:dyDescent="0.3">
      <c r="A17" s="263" t="s">
        <v>69</v>
      </c>
      <c r="B17" s="266" t="s">
        <v>826</v>
      </c>
      <c r="C17" s="69" t="s">
        <v>827</v>
      </c>
      <c r="D17" s="183" t="s">
        <v>828</v>
      </c>
      <c r="E17" s="265" t="s">
        <v>829</v>
      </c>
      <c r="F17" s="266" t="s">
        <v>830</v>
      </c>
      <c r="G17" s="94" t="s">
        <v>831</v>
      </c>
      <c r="H17" s="69"/>
    </row>
    <row r="18" spans="1:9" ht="30" customHeight="1" x14ac:dyDescent="0.3">
      <c r="A18" s="263" t="s">
        <v>73</v>
      </c>
      <c r="B18" s="264" t="s">
        <v>826</v>
      </c>
      <c r="C18" s="62" t="s">
        <v>832</v>
      </c>
      <c r="D18" s="178" t="s">
        <v>833</v>
      </c>
      <c r="E18" s="265" t="s">
        <v>834</v>
      </c>
      <c r="F18" s="264" t="s">
        <v>835</v>
      </c>
      <c r="G18" s="172" t="s">
        <v>836</v>
      </c>
      <c r="H18" s="62"/>
    </row>
    <row r="19" spans="1:9" ht="30" customHeight="1" x14ac:dyDescent="0.3">
      <c r="A19" s="263" t="s">
        <v>76</v>
      </c>
      <c r="B19" s="266" t="s">
        <v>826</v>
      </c>
      <c r="C19" s="69" t="s">
        <v>837</v>
      </c>
      <c r="D19" s="183" t="s">
        <v>838</v>
      </c>
      <c r="E19" s="265" t="s">
        <v>834</v>
      </c>
      <c r="F19" s="266" t="s">
        <v>835</v>
      </c>
      <c r="G19" s="172" t="s">
        <v>836</v>
      </c>
      <c r="H19" s="69"/>
    </row>
    <row r="20" spans="1:9" ht="30" customHeight="1" x14ac:dyDescent="0.3">
      <c r="A20" s="263" t="s">
        <v>80</v>
      </c>
      <c r="B20" s="264" t="s">
        <v>839</v>
      </c>
      <c r="C20" s="62" t="s">
        <v>840</v>
      </c>
      <c r="D20" s="178" t="s">
        <v>841</v>
      </c>
      <c r="E20" s="265" t="s">
        <v>842</v>
      </c>
      <c r="F20" s="264" t="s">
        <v>475</v>
      </c>
      <c r="G20" s="172" t="s">
        <v>843</v>
      </c>
      <c r="H20" s="62"/>
    </row>
    <row r="21" spans="1:9" ht="30" customHeight="1" x14ac:dyDescent="0.3">
      <c r="A21" s="263" t="s">
        <v>84</v>
      </c>
      <c r="B21" s="266" t="s">
        <v>839</v>
      </c>
      <c r="C21" s="69" t="s">
        <v>844</v>
      </c>
      <c r="D21" s="183" t="s">
        <v>845</v>
      </c>
      <c r="E21" s="265" t="s">
        <v>846</v>
      </c>
      <c r="F21" s="266" t="s">
        <v>480</v>
      </c>
      <c r="G21" s="172" t="s">
        <v>847</v>
      </c>
      <c r="H21" s="69"/>
    </row>
    <row r="22" spans="1:9" ht="25.5" customHeight="1" x14ac:dyDescent="0.3">
      <c r="A22" s="424" t="s">
        <v>848</v>
      </c>
      <c r="B22" s="424"/>
      <c r="C22" s="424"/>
      <c r="D22" s="424"/>
      <c r="E22" s="424"/>
      <c r="F22" s="424"/>
      <c r="G22" s="424"/>
      <c r="H22" s="424"/>
      <c r="I22" s="267"/>
    </row>
    <row r="23" spans="1:9" ht="15.75" customHeight="1" x14ac:dyDescent="0.3">
      <c r="A23" s="425" t="s">
        <v>849</v>
      </c>
      <c r="B23" s="425"/>
      <c r="C23" s="425"/>
      <c r="D23" s="425"/>
      <c r="E23" s="425"/>
      <c r="F23" s="425"/>
      <c r="G23" s="425"/>
      <c r="H23" s="425"/>
      <c r="I23" s="267"/>
    </row>
    <row r="24" spans="1:9" ht="21.75" customHeight="1" x14ac:dyDescent="0.3">
      <c r="A24" s="42" t="s">
        <v>3</v>
      </c>
      <c r="B24" s="42" t="s">
        <v>850</v>
      </c>
      <c r="C24" s="42" t="s">
        <v>851</v>
      </c>
      <c r="D24" s="42" t="s">
        <v>852</v>
      </c>
      <c r="E24" s="42" t="s">
        <v>853</v>
      </c>
      <c r="F24" s="42" t="s">
        <v>854</v>
      </c>
      <c r="G24" s="42" t="s">
        <v>855</v>
      </c>
      <c r="H24" s="42" t="s">
        <v>457</v>
      </c>
      <c r="I24" s="267"/>
    </row>
    <row r="25" spans="1:9" ht="78" customHeight="1" x14ac:dyDescent="0.3">
      <c r="A25" s="42" t="s">
        <v>856</v>
      </c>
      <c r="B25" s="269" t="s">
        <v>857</v>
      </c>
      <c r="C25" s="270" t="s">
        <v>858</v>
      </c>
      <c r="D25" s="271" t="s">
        <v>859</v>
      </c>
      <c r="E25" s="94" t="s">
        <v>473</v>
      </c>
      <c r="F25" s="269" t="s">
        <v>860</v>
      </c>
      <c r="G25" s="270" t="s">
        <v>858</v>
      </c>
      <c r="H25" s="45" t="s">
        <v>861</v>
      </c>
      <c r="I25" s="267"/>
    </row>
    <row r="26" spans="1:9" ht="78" customHeight="1" x14ac:dyDescent="0.3">
      <c r="A26" s="42" t="s">
        <v>862</v>
      </c>
      <c r="B26" s="269" t="s">
        <v>863</v>
      </c>
      <c r="C26" s="271" t="s">
        <v>859</v>
      </c>
      <c r="D26" s="271" t="s">
        <v>859</v>
      </c>
      <c r="E26" s="94" t="s">
        <v>460</v>
      </c>
      <c r="F26" s="269" t="s">
        <v>864</v>
      </c>
      <c r="G26" s="270" t="s">
        <v>858</v>
      </c>
      <c r="H26" s="45" t="s">
        <v>480</v>
      </c>
      <c r="I26" s="267"/>
    </row>
    <row r="27" spans="1:9" ht="78" customHeight="1" x14ac:dyDescent="0.3">
      <c r="A27" s="107" t="s">
        <v>865</v>
      </c>
      <c r="B27" s="272" t="s">
        <v>866</v>
      </c>
      <c r="C27" s="109" t="s">
        <v>858</v>
      </c>
      <c r="D27" s="142" t="s">
        <v>859</v>
      </c>
      <c r="E27" s="172" t="s">
        <v>473</v>
      </c>
      <c r="F27" s="272" t="s">
        <v>867</v>
      </c>
      <c r="G27" s="109" t="s">
        <v>858</v>
      </c>
      <c r="H27" s="171" t="s">
        <v>810</v>
      </c>
      <c r="I27" s="267"/>
    </row>
    <row r="28" spans="1:9" ht="78" customHeight="1" x14ac:dyDescent="0.3">
      <c r="A28" s="107" t="s">
        <v>868</v>
      </c>
      <c r="B28" s="272" t="s">
        <v>869</v>
      </c>
      <c r="C28" s="109" t="s">
        <v>870</v>
      </c>
      <c r="D28" s="142" t="s">
        <v>871</v>
      </c>
      <c r="E28" s="172" t="s">
        <v>872</v>
      </c>
      <c r="F28" s="272" t="s">
        <v>873</v>
      </c>
      <c r="G28" s="273" t="s">
        <v>870</v>
      </c>
      <c r="H28" s="171" t="s">
        <v>874</v>
      </c>
      <c r="I28" s="267"/>
    </row>
    <row r="29" spans="1:9" ht="78" customHeight="1" x14ac:dyDescent="0.3">
      <c r="A29" s="274" t="s">
        <v>875</v>
      </c>
      <c r="B29" s="275" t="s">
        <v>876</v>
      </c>
      <c r="C29" s="276" t="s">
        <v>870</v>
      </c>
      <c r="D29" s="277" t="s">
        <v>871</v>
      </c>
      <c r="E29" s="263" t="s">
        <v>872</v>
      </c>
      <c r="F29" s="275" t="s">
        <v>877</v>
      </c>
      <c r="G29" s="278" t="s">
        <v>870</v>
      </c>
      <c r="H29" s="279" t="s">
        <v>878</v>
      </c>
      <c r="I29" s="267"/>
    </row>
    <row r="30" spans="1:9" ht="51.75" customHeight="1" x14ac:dyDescent="0.3">
      <c r="A30" s="266"/>
      <c r="B30" s="280"/>
      <c r="C30" s="266"/>
      <c r="D30" s="266"/>
      <c r="E30" s="266"/>
      <c r="F30" s="280"/>
      <c r="G30" s="266"/>
      <c r="H30" s="281"/>
      <c r="I30" s="267"/>
    </row>
    <row r="31" spans="1:9" ht="25.5" customHeight="1" x14ac:dyDescent="0.3">
      <c r="A31" s="426" t="s">
        <v>879</v>
      </c>
      <c r="B31" s="426"/>
      <c r="C31" s="426"/>
      <c r="D31" s="426"/>
      <c r="E31" s="426"/>
      <c r="F31" s="426"/>
      <c r="G31" s="426"/>
      <c r="H31" s="426"/>
      <c r="I31" s="267"/>
    </row>
    <row r="32" spans="1:9" ht="15.75" customHeight="1" x14ac:dyDescent="0.3">
      <c r="A32" s="425" t="s">
        <v>880</v>
      </c>
      <c r="B32" s="425"/>
      <c r="C32" s="425"/>
      <c r="D32" s="425"/>
      <c r="E32" s="425"/>
      <c r="F32" s="425"/>
      <c r="G32" s="425"/>
      <c r="H32" s="425"/>
      <c r="I32" s="267"/>
    </row>
    <row r="33" spans="1:9" ht="21.75" customHeight="1" x14ac:dyDescent="0.3">
      <c r="A33" s="16" t="s">
        <v>3</v>
      </c>
      <c r="B33" s="16" t="s">
        <v>881</v>
      </c>
      <c r="C33" s="16" t="s">
        <v>882</v>
      </c>
      <c r="D33" s="16" t="s">
        <v>883</v>
      </c>
      <c r="E33" s="16" t="s">
        <v>884</v>
      </c>
      <c r="F33" s="16" t="s">
        <v>457</v>
      </c>
      <c r="G33" s="16" t="s">
        <v>885</v>
      </c>
      <c r="H33" s="16" t="s">
        <v>886</v>
      </c>
      <c r="I33" s="267"/>
    </row>
    <row r="34" spans="1:9" ht="67.5" customHeight="1" x14ac:dyDescent="0.3">
      <c r="A34" s="61" t="s">
        <v>408</v>
      </c>
      <c r="B34" s="282" t="s">
        <v>887</v>
      </c>
      <c r="C34" s="283" t="s">
        <v>888</v>
      </c>
      <c r="D34" s="283" t="s">
        <v>889</v>
      </c>
      <c r="E34" s="284" t="s">
        <v>890</v>
      </c>
      <c r="F34" s="285" t="s">
        <v>475</v>
      </c>
      <c r="G34" s="153" t="s">
        <v>891</v>
      </c>
      <c r="H34" s="286" t="s">
        <v>892</v>
      </c>
      <c r="I34" s="267"/>
    </row>
    <row r="35" spans="1:9" ht="67.5" customHeight="1" x14ac:dyDescent="0.3">
      <c r="A35" s="61" t="s">
        <v>413</v>
      </c>
      <c r="B35" s="282" t="s">
        <v>893</v>
      </c>
      <c r="C35" s="287" t="s">
        <v>894</v>
      </c>
      <c r="D35" s="287" t="s">
        <v>895</v>
      </c>
      <c r="E35" s="284" t="s">
        <v>896</v>
      </c>
      <c r="F35" s="35" t="s">
        <v>874</v>
      </c>
      <c r="G35" s="158" t="s">
        <v>891</v>
      </c>
      <c r="H35" s="286" t="s">
        <v>897</v>
      </c>
      <c r="I35" s="267"/>
    </row>
    <row r="36" spans="1:9" ht="67.5" customHeight="1" x14ac:dyDescent="0.3">
      <c r="A36" s="61" t="s">
        <v>416</v>
      </c>
      <c r="B36" s="282" t="s">
        <v>898</v>
      </c>
      <c r="C36" s="283" t="s">
        <v>899</v>
      </c>
      <c r="D36" s="283" t="s">
        <v>900</v>
      </c>
      <c r="E36" s="284" t="s">
        <v>901</v>
      </c>
      <c r="F36" s="285" t="s">
        <v>480</v>
      </c>
      <c r="G36" s="153" t="s">
        <v>902</v>
      </c>
      <c r="H36" s="286" t="s">
        <v>903</v>
      </c>
      <c r="I36" s="267"/>
    </row>
    <row r="37" spans="1:9" ht="67.5" customHeight="1" x14ac:dyDescent="0.3">
      <c r="A37" s="61" t="s">
        <v>421</v>
      </c>
      <c r="B37" s="282" t="s">
        <v>904</v>
      </c>
      <c r="C37" s="287" t="s">
        <v>905</v>
      </c>
      <c r="D37" s="287" t="s">
        <v>906</v>
      </c>
      <c r="E37" s="284" t="s">
        <v>907</v>
      </c>
      <c r="F37" s="35" t="s">
        <v>810</v>
      </c>
      <c r="G37" s="158" t="s">
        <v>908</v>
      </c>
      <c r="H37" s="286" t="s">
        <v>909</v>
      </c>
      <c r="I37" s="267"/>
    </row>
    <row r="38" spans="1:9" ht="67.5" customHeight="1" x14ac:dyDescent="0.3">
      <c r="A38" s="61" t="s">
        <v>425</v>
      </c>
      <c r="B38" s="282" t="s">
        <v>910</v>
      </c>
      <c r="C38" s="283" t="s">
        <v>911</v>
      </c>
      <c r="D38" s="283" t="s">
        <v>912</v>
      </c>
      <c r="E38" s="284" t="s">
        <v>913</v>
      </c>
      <c r="F38" s="285" t="s">
        <v>480</v>
      </c>
      <c r="G38" s="153" t="s">
        <v>902</v>
      </c>
      <c r="H38" s="286" t="s">
        <v>914</v>
      </c>
      <c r="I38" s="267"/>
    </row>
    <row r="39" spans="1:9" ht="14.25" customHeight="1" x14ac:dyDescent="0.3">
      <c r="A39" s="267"/>
      <c r="B39" s="267"/>
      <c r="C39" s="267"/>
      <c r="D39" s="267"/>
      <c r="E39" s="267"/>
      <c r="F39" s="267"/>
      <c r="G39" s="267"/>
      <c r="H39" s="267"/>
      <c r="I39" s="267"/>
    </row>
  </sheetData>
  <mergeCells count="7">
    <mergeCell ref="A31:H31"/>
    <mergeCell ref="A32:H32"/>
    <mergeCell ref="A1:H1"/>
    <mergeCell ref="A2:H2"/>
    <mergeCell ref="A4:H4"/>
    <mergeCell ref="A22:H22"/>
    <mergeCell ref="A23:H2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2"/>
  <sheetViews>
    <sheetView showGridLines="0" topLeftCell="A65" zoomScaleNormal="100" workbookViewId="0">
      <selection activeCell="J3" sqref="J3"/>
    </sheetView>
  </sheetViews>
  <sheetFormatPr defaultColWidth="8.6640625" defaultRowHeight="14.4" x14ac:dyDescent="0.3"/>
  <cols>
    <col min="1" max="1" width="10" customWidth="1"/>
    <col min="2" max="2" width="14" customWidth="1"/>
    <col min="3" max="3" width="42" customWidth="1"/>
    <col min="4" max="4" width="20" customWidth="1"/>
    <col min="5" max="5" width="42" customWidth="1"/>
    <col min="6" max="6" width="30" customWidth="1"/>
    <col min="7" max="7" width="25.21875" customWidth="1"/>
    <col min="8" max="8" width="27.6640625" customWidth="1"/>
    <col min="9" max="9" width="36.33203125" customWidth="1"/>
    <col min="10" max="11" width="27.77734375" customWidth="1"/>
    <col min="12" max="12" width="31.5546875" customWidth="1"/>
  </cols>
  <sheetData>
    <row r="1" spans="1:12" ht="27.75" customHeight="1" x14ac:dyDescent="0.3">
      <c r="A1" s="7" t="s">
        <v>915</v>
      </c>
      <c r="B1" s="7"/>
      <c r="C1" s="7"/>
      <c r="D1" s="7"/>
      <c r="E1" s="7"/>
      <c r="F1" s="7"/>
      <c r="G1" s="7"/>
      <c r="H1" s="7"/>
      <c r="I1" s="7"/>
      <c r="J1" s="7"/>
      <c r="K1" s="7"/>
      <c r="L1" s="7"/>
    </row>
    <row r="2" spans="1:12" ht="12.75" customHeight="1" x14ac:dyDescent="0.3">
      <c r="A2" s="6" t="s">
        <v>916</v>
      </c>
      <c r="B2" s="6"/>
      <c r="C2" s="6"/>
      <c r="D2" s="6"/>
      <c r="E2" s="6"/>
      <c r="F2" s="6"/>
      <c r="G2" s="6"/>
      <c r="H2" s="6"/>
      <c r="I2" s="6"/>
      <c r="J2" s="6"/>
      <c r="K2" s="6"/>
      <c r="L2" s="6"/>
    </row>
    <row r="4" spans="1:12" ht="18" customHeight="1" x14ac:dyDescent="0.3">
      <c r="A4" s="5" t="s">
        <v>917</v>
      </c>
      <c r="B4" s="5"/>
      <c r="C4" s="5"/>
      <c r="D4" s="5"/>
      <c r="E4" s="5"/>
      <c r="F4" s="5"/>
      <c r="G4" s="5"/>
      <c r="H4" s="5"/>
      <c r="I4" s="5"/>
      <c r="J4" s="5"/>
      <c r="K4" s="5"/>
      <c r="L4" s="5"/>
    </row>
    <row r="5" spans="1:12" ht="27.75" customHeight="1" x14ac:dyDescent="0.3">
      <c r="A5" s="30" t="s">
        <v>918</v>
      </c>
      <c r="B5" s="30" t="s">
        <v>919</v>
      </c>
      <c r="C5" s="30" t="s">
        <v>920</v>
      </c>
      <c r="D5" s="30" t="s">
        <v>921</v>
      </c>
      <c r="E5" s="30" t="s">
        <v>922</v>
      </c>
      <c r="F5" s="30" t="s">
        <v>923</v>
      </c>
      <c r="G5" s="30" t="s">
        <v>924</v>
      </c>
      <c r="H5" s="30" t="s">
        <v>925</v>
      </c>
      <c r="I5" s="30" t="s">
        <v>926</v>
      </c>
      <c r="J5" s="30" t="s">
        <v>457</v>
      </c>
      <c r="K5" s="30" t="s">
        <v>927</v>
      </c>
      <c r="L5" s="30" t="s">
        <v>397</v>
      </c>
    </row>
    <row r="6" spans="1:12" ht="27.75" customHeight="1" x14ac:dyDescent="0.3">
      <c r="A6" s="263" t="s">
        <v>928</v>
      </c>
      <c r="B6" s="98" t="s">
        <v>929</v>
      </c>
      <c r="C6" s="288" t="s">
        <v>930</v>
      </c>
      <c r="D6" s="289"/>
      <c r="E6" s="289"/>
      <c r="F6" s="289"/>
      <c r="G6" s="289"/>
      <c r="H6" s="289"/>
      <c r="I6" s="290" t="s">
        <v>931</v>
      </c>
      <c r="J6" s="263" t="s">
        <v>480</v>
      </c>
      <c r="K6" s="291">
        <f>SUM(F41:F43)</f>
        <v>0</v>
      </c>
      <c r="L6" s="292" t="s">
        <v>465</v>
      </c>
    </row>
    <row r="7" spans="1:12" ht="27.75" customHeight="1" x14ac:dyDescent="0.3">
      <c r="A7" s="87" t="s">
        <v>932</v>
      </c>
      <c r="B7" s="24" t="s">
        <v>933</v>
      </c>
      <c r="C7" s="293"/>
      <c r="D7" s="294" t="s">
        <v>930</v>
      </c>
      <c r="E7" s="293"/>
      <c r="F7" s="293"/>
      <c r="G7" s="293"/>
      <c r="H7" s="293"/>
      <c r="I7" s="295" t="s">
        <v>934</v>
      </c>
      <c r="J7" s="87" t="s">
        <v>825</v>
      </c>
      <c r="K7" s="40" t="s">
        <v>935</v>
      </c>
      <c r="L7" s="292" t="s">
        <v>465</v>
      </c>
    </row>
    <row r="8" spans="1:12" ht="27.75" customHeight="1" x14ac:dyDescent="0.3">
      <c r="A8" s="87" t="s">
        <v>936</v>
      </c>
      <c r="B8" s="24" t="s">
        <v>648</v>
      </c>
      <c r="C8" s="293"/>
      <c r="D8" s="293"/>
      <c r="E8" s="294" t="s">
        <v>930</v>
      </c>
      <c r="F8" s="293"/>
      <c r="G8" s="293"/>
      <c r="H8" s="293"/>
      <c r="I8" s="295" t="s">
        <v>937</v>
      </c>
      <c r="J8" s="87" t="s">
        <v>825</v>
      </c>
      <c r="K8" s="296">
        <f>H17*0.27</f>
        <v>0</v>
      </c>
      <c r="L8" s="292" t="s">
        <v>465</v>
      </c>
    </row>
    <row r="9" spans="1:12" ht="27.75" customHeight="1" x14ac:dyDescent="0.3">
      <c r="A9" s="91" t="s">
        <v>938</v>
      </c>
      <c r="B9" s="297" t="s">
        <v>939</v>
      </c>
      <c r="C9" s="298"/>
      <c r="D9" s="298"/>
      <c r="E9" s="298"/>
      <c r="F9" s="299" t="s">
        <v>930</v>
      </c>
      <c r="G9" s="298"/>
      <c r="H9" s="298"/>
      <c r="I9" s="300" t="s">
        <v>940</v>
      </c>
      <c r="J9" s="91" t="s">
        <v>825</v>
      </c>
      <c r="K9" s="301">
        <f>H17*0.35</f>
        <v>0</v>
      </c>
      <c r="L9" s="292" t="s">
        <v>465</v>
      </c>
    </row>
    <row r="10" spans="1:12" ht="27.75" customHeight="1" x14ac:dyDescent="0.3">
      <c r="A10" s="91" t="s">
        <v>941</v>
      </c>
      <c r="B10" s="297" t="s">
        <v>942</v>
      </c>
      <c r="C10" s="298"/>
      <c r="D10" s="298"/>
      <c r="E10" s="298"/>
      <c r="F10" s="298"/>
      <c r="G10" s="299" t="s">
        <v>930</v>
      </c>
      <c r="H10" s="298"/>
      <c r="I10" s="300" t="s">
        <v>943</v>
      </c>
      <c r="J10" s="91" t="s">
        <v>825</v>
      </c>
      <c r="K10" s="301">
        <f>H17*0.38</f>
        <v>0</v>
      </c>
      <c r="L10" s="292" t="s">
        <v>465</v>
      </c>
    </row>
    <row r="11" spans="1:12" ht="27.75" customHeight="1" x14ac:dyDescent="0.3">
      <c r="A11" s="172" t="s">
        <v>944</v>
      </c>
      <c r="B11" s="110" t="s">
        <v>945</v>
      </c>
      <c r="C11" s="302"/>
      <c r="D11" s="302"/>
      <c r="E11" s="302"/>
      <c r="F11" s="302"/>
      <c r="G11" s="302"/>
      <c r="H11" s="303" t="s">
        <v>930</v>
      </c>
      <c r="I11" s="304" t="s">
        <v>946</v>
      </c>
      <c r="J11" s="172" t="s">
        <v>947</v>
      </c>
      <c r="K11" s="171" t="s">
        <v>948</v>
      </c>
      <c r="L11" s="292" t="s">
        <v>465</v>
      </c>
    </row>
    <row r="13" spans="1:12" ht="18" customHeight="1" x14ac:dyDescent="0.3">
      <c r="A13" s="5" t="s">
        <v>949</v>
      </c>
      <c r="B13" s="5"/>
      <c r="C13" s="5"/>
      <c r="D13" s="5"/>
      <c r="E13" s="5"/>
      <c r="F13" s="5"/>
      <c r="G13" s="5"/>
      <c r="H13" s="5"/>
      <c r="I13" s="5"/>
      <c r="J13" s="5"/>
      <c r="K13" s="5"/>
      <c r="L13" s="5"/>
    </row>
    <row r="14" spans="1:12" ht="24" customHeight="1" x14ac:dyDescent="0.3">
      <c r="A14" s="30" t="s">
        <v>950</v>
      </c>
      <c r="B14" s="30" t="s">
        <v>774</v>
      </c>
      <c r="C14" s="30" t="s">
        <v>951</v>
      </c>
      <c r="D14" s="30" t="s">
        <v>457</v>
      </c>
      <c r="E14" s="30" t="s">
        <v>952</v>
      </c>
      <c r="F14" s="30" t="s">
        <v>953</v>
      </c>
      <c r="G14" s="30"/>
      <c r="H14" s="30"/>
      <c r="I14" s="30"/>
      <c r="J14" s="30"/>
      <c r="K14" s="30"/>
      <c r="L14" s="30"/>
    </row>
    <row r="15" spans="1:12" ht="36" customHeight="1" x14ac:dyDescent="0.3">
      <c r="A15" s="266" t="s">
        <v>476</v>
      </c>
      <c r="B15" s="23" t="s">
        <v>839</v>
      </c>
      <c r="C15" s="69" t="s">
        <v>954</v>
      </c>
      <c r="D15" s="266" t="s">
        <v>861</v>
      </c>
      <c r="E15" s="305" t="s">
        <v>955</v>
      </c>
      <c r="F15" s="427" t="s">
        <v>956</v>
      </c>
      <c r="G15" s="427"/>
      <c r="H15" s="427"/>
      <c r="I15" s="427"/>
      <c r="J15" s="427"/>
      <c r="K15" s="427"/>
      <c r="L15" s="427"/>
    </row>
    <row r="16" spans="1:12" ht="36" customHeight="1" x14ac:dyDescent="0.3">
      <c r="A16" s="264" t="s">
        <v>476</v>
      </c>
      <c r="B16" s="18" t="s">
        <v>957</v>
      </c>
      <c r="C16" s="62" t="s">
        <v>958</v>
      </c>
      <c r="D16" s="264" t="s">
        <v>480</v>
      </c>
      <c r="E16" s="306" t="s">
        <v>959</v>
      </c>
      <c r="F16" s="427" t="s">
        <v>960</v>
      </c>
      <c r="G16" s="427"/>
      <c r="H16" s="427"/>
      <c r="I16" s="427"/>
      <c r="J16" s="427"/>
      <c r="K16" s="427"/>
      <c r="L16" s="427"/>
    </row>
    <row r="17" spans="1:12" ht="36" customHeight="1" x14ac:dyDescent="0.3">
      <c r="A17" s="266" t="s">
        <v>476</v>
      </c>
      <c r="B17" s="18" t="s">
        <v>957</v>
      </c>
      <c r="C17" s="69" t="s">
        <v>961</v>
      </c>
      <c r="D17" s="266" t="s">
        <v>480</v>
      </c>
      <c r="E17" s="305" t="s">
        <v>962</v>
      </c>
      <c r="F17" s="427" t="s">
        <v>963</v>
      </c>
      <c r="G17" s="427"/>
      <c r="H17" s="427"/>
      <c r="I17" s="427"/>
      <c r="J17" s="427"/>
      <c r="K17" s="427"/>
      <c r="L17" s="427"/>
    </row>
    <row r="18" spans="1:12" ht="36" customHeight="1" x14ac:dyDescent="0.3">
      <c r="A18" s="264" t="s">
        <v>481</v>
      </c>
      <c r="B18" s="18" t="s">
        <v>957</v>
      </c>
      <c r="C18" s="62" t="s">
        <v>964</v>
      </c>
      <c r="D18" s="264" t="s">
        <v>480</v>
      </c>
      <c r="E18" s="306" t="s">
        <v>965</v>
      </c>
      <c r="F18" s="427" t="s">
        <v>966</v>
      </c>
      <c r="G18" s="427"/>
      <c r="H18" s="427"/>
      <c r="I18" s="427"/>
      <c r="J18" s="427"/>
      <c r="K18" s="427"/>
      <c r="L18" s="427"/>
    </row>
    <row r="19" spans="1:12" ht="36" customHeight="1" x14ac:dyDescent="0.3">
      <c r="A19" s="266" t="s">
        <v>481</v>
      </c>
      <c r="B19" s="18" t="s">
        <v>957</v>
      </c>
      <c r="C19" s="69" t="s">
        <v>967</v>
      </c>
      <c r="D19" s="266" t="s">
        <v>480</v>
      </c>
      <c r="E19" s="305" t="s">
        <v>968</v>
      </c>
      <c r="F19" s="427" t="s">
        <v>969</v>
      </c>
      <c r="G19" s="427"/>
      <c r="H19" s="427"/>
      <c r="I19" s="427"/>
      <c r="J19" s="427"/>
      <c r="K19" s="427"/>
      <c r="L19" s="427"/>
    </row>
    <row r="20" spans="1:12" ht="36" customHeight="1" x14ac:dyDescent="0.3">
      <c r="A20" s="264" t="s">
        <v>481</v>
      </c>
      <c r="B20" s="132" t="s">
        <v>970</v>
      </c>
      <c r="C20" s="62" t="s">
        <v>971</v>
      </c>
      <c r="D20" s="264" t="s">
        <v>480</v>
      </c>
      <c r="E20" s="306" t="s">
        <v>972</v>
      </c>
      <c r="F20" s="427" t="s">
        <v>973</v>
      </c>
      <c r="G20" s="427"/>
      <c r="H20" s="427"/>
      <c r="I20" s="427"/>
      <c r="J20" s="427"/>
      <c r="K20" s="427"/>
      <c r="L20" s="427"/>
    </row>
    <row r="21" spans="1:12" ht="36" customHeight="1" x14ac:dyDescent="0.3">
      <c r="A21" s="266" t="s">
        <v>974</v>
      </c>
      <c r="B21" s="132" t="s">
        <v>975</v>
      </c>
      <c r="C21" s="69" t="s">
        <v>976</v>
      </c>
      <c r="D21" s="266" t="s">
        <v>977</v>
      </c>
      <c r="E21" s="305" t="s">
        <v>978</v>
      </c>
      <c r="F21" s="427" t="s">
        <v>979</v>
      </c>
      <c r="G21" s="427"/>
      <c r="H21" s="427"/>
      <c r="I21" s="427"/>
      <c r="J21" s="427"/>
      <c r="K21" s="427"/>
      <c r="L21" s="427"/>
    </row>
    <row r="22" spans="1:12" ht="36" customHeight="1" x14ac:dyDescent="0.3">
      <c r="A22" s="264" t="s">
        <v>974</v>
      </c>
      <c r="B22" s="132" t="s">
        <v>975</v>
      </c>
      <c r="C22" s="62" t="s">
        <v>980</v>
      </c>
      <c r="D22" s="264" t="s">
        <v>480</v>
      </c>
      <c r="E22" s="306" t="s">
        <v>981</v>
      </c>
      <c r="F22" s="427" t="s">
        <v>982</v>
      </c>
      <c r="G22" s="427"/>
      <c r="H22" s="427"/>
      <c r="I22" s="427"/>
      <c r="J22" s="427"/>
      <c r="K22" s="427"/>
      <c r="L22" s="427"/>
    </row>
    <row r="23" spans="1:12" ht="36" customHeight="1" x14ac:dyDescent="0.3">
      <c r="A23" s="266" t="s">
        <v>983</v>
      </c>
      <c r="B23" s="132" t="s">
        <v>984</v>
      </c>
      <c r="C23" s="69" t="s">
        <v>985</v>
      </c>
      <c r="D23" s="266" t="s">
        <v>825</v>
      </c>
      <c r="E23" s="305" t="s">
        <v>986</v>
      </c>
      <c r="F23" s="427" t="s">
        <v>987</v>
      </c>
      <c r="G23" s="427"/>
      <c r="H23" s="427"/>
      <c r="I23" s="427"/>
      <c r="J23" s="427"/>
      <c r="K23" s="427"/>
      <c r="L23" s="427"/>
    </row>
    <row r="24" spans="1:12" ht="36" customHeight="1" x14ac:dyDescent="0.3">
      <c r="A24" s="264" t="s">
        <v>983</v>
      </c>
      <c r="B24" s="132" t="s">
        <v>988</v>
      </c>
      <c r="C24" s="62" t="s">
        <v>989</v>
      </c>
      <c r="D24" s="264" t="s">
        <v>825</v>
      </c>
      <c r="E24" s="306" t="s">
        <v>990</v>
      </c>
      <c r="F24" s="427" t="s">
        <v>991</v>
      </c>
      <c r="G24" s="427"/>
      <c r="H24" s="427"/>
      <c r="I24" s="427"/>
      <c r="J24" s="427"/>
      <c r="K24" s="427"/>
      <c r="L24" s="427"/>
    </row>
    <row r="27" spans="1:12" ht="18" customHeight="1" x14ac:dyDescent="0.3">
      <c r="A27" s="361" t="s">
        <v>992</v>
      </c>
      <c r="B27" s="361"/>
      <c r="C27" s="361"/>
      <c r="D27" s="361"/>
      <c r="E27" s="361"/>
      <c r="F27" s="361"/>
      <c r="G27" s="361"/>
      <c r="H27" s="361"/>
      <c r="I27" s="361"/>
      <c r="J27" s="361"/>
      <c r="K27" s="361"/>
      <c r="L27" s="361"/>
    </row>
    <row r="28" spans="1:12" ht="24" customHeight="1" x14ac:dyDescent="0.3">
      <c r="A28" s="47" t="s">
        <v>950</v>
      </c>
      <c r="B28" s="47" t="s">
        <v>774</v>
      </c>
      <c r="C28" s="47" t="s">
        <v>951</v>
      </c>
      <c r="D28" s="47" t="s">
        <v>457</v>
      </c>
      <c r="E28" s="47" t="s">
        <v>952</v>
      </c>
      <c r="F28" s="47" t="s">
        <v>953</v>
      </c>
      <c r="G28" s="47"/>
      <c r="H28" s="47"/>
      <c r="I28" s="47"/>
      <c r="J28" s="47"/>
      <c r="K28" s="47"/>
      <c r="L28" s="47"/>
    </row>
    <row r="29" spans="1:12" ht="36" customHeight="1" x14ac:dyDescent="0.3">
      <c r="A29" s="266" t="s">
        <v>993</v>
      </c>
      <c r="B29" s="22" t="s">
        <v>817</v>
      </c>
      <c r="C29" s="69" t="s">
        <v>994</v>
      </c>
      <c r="D29" s="266" t="s">
        <v>825</v>
      </c>
      <c r="E29" s="305" t="s">
        <v>995</v>
      </c>
      <c r="F29" s="427" t="s">
        <v>996</v>
      </c>
      <c r="G29" s="427"/>
      <c r="H29" s="427"/>
      <c r="I29" s="427"/>
      <c r="J29" s="427"/>
      <c r="K29" s="427"/>
      <c r="L29" s="427"/>
    </row>
    <row r="30" spans="1:12" ht="36" customHeight="1" x14ac:dyDescent="0.3">
      <c r="A30" s="264" t="s">
        <v>993</v>
      </c>
      <c r="B30" s="22" t="s">
        <v>817</v>
      </c>
      <c r="C30" s="62" t="s">
        <v>997</v>
      </c>
      <c r="D30" s="264" t="s">
        <v>825</v>
      </c>
      <c r="E30" s="306" t="s">
        <v>998</v>
      </c>
      <c r="F30" s="427" t="s">
        <v>999</v>
      </c>
      <c r="G30" s="427"/>
      <c r="H30" s="427"/>
      <c r="I30" s="427"/>
      <c r="J30" s="427"/>
      <c r="K30" s="427"/>
      <c r="L30" s="427"/>
    </row>
    <row r="31" spans="1:12" ht="36" customHeight="1" x14ac:dyDescent="0.3">
      <c r="A31" s="266" t="s">
        <v>1000</v>
      </c>
      <c r="B31" s="20" t="s">
        <v>1001</v>
      </c>
      <c r="C31" s="69" t="s">
        <v>1002</v>
      </c>
      <c r="D31" s="266" t="s">
        <v>825</v>
      </c>
      <c r="E31" s="305" t="s">
        <v>1003</v>
      </c>
      <c r="F31" s="427" t="s">
        <v>1004</v>
      </c>
      <c r="G31" s="427"/>
      <c r="H31" s="427"/>
      <c r="I31" s="427"/>
      <c r="J31" s="427"/>
      <c r="K31" s="427"/>
      <c r="L31" s="427"/>
    </row>
    <row r="32" spans="1:12" ht="36" customHeight="1" x14ac:dyDescent="0.3">
      <c r="A32" s="264" t="s">
        <v>1000</v>
      </c>
      <c r="B32" s="20" t="s">
        <v>1001</v>
      </c>
      <c r="C32" s="62" t="s">
        <v>1005</v>
      </c>
      <c r="D32" s="264" t="s">
        <v>810</v>
      </c>
      <c r="E32" s="306" t="s">
        <v>1006</v>
      </c>
      <c r="F32" s="427" t="s">
        <v>1007</v>
      </c>
      <c r="G32" s="427"/>
      <c r="H32" s="427"/>
      <c r="I32" s="427"/>
      <c r="J32" s="427"/>
      <c r="K32" s="427"/>
      <c r="L32" s="427"/>
    </row>
    <row r="33" spans="1:12" ht="36" customHeight="1" x14ac:dyDescent="0.3">
      <c r="A33" s="266" t="s">
        <v>1000</v>
      </c>
      <c r="B33" s="132" t="s">
        <v>1008</v>
      </c>
      <c r="C33" s="69" t="s">
        <v>1009</v>
      </c>
      <c r="D33" s="266" t="s">
        <v>1010</v>
      </c>
      <c r="E33" s="305" t="s">
        <v>1011</v>
      </c>
      <c r="F33" s="427" t="s">
        <v>1012</v>
      </c>
      <c r="G33" s="427"/>
      <c r="H33" s="427"/>
      <c r="I33" s="427"/>
      <c r="J33" s="427"/>
      <c r="K33" s="427"/>
      <c r="L33" s="427"/>
    </row>
    <row r="34" spans="1:12" ht="36" customHeight="1" x14ac:dyDescent="0.3">
      <c r="A34" s="264" t="s">
        <v>1013</v>
      </c>
      <c r="B34" s="132" t="s">
        <v>970</v>
      </c>
      <c r="C34" s="62" t="s">
        <v>1014</v>
      </c>
      <c r="D34" s="264" t="s">
        <v>480</v>
      </c>
      <c r="E34" s="306" t="s">
        <v>1015</v>
      </c>
      <c r="F34" s="427" t="s">
        <v>1016</v>
      </c>
      <c r="G34" s="427"/>
      <c r="H34" s="427"/>
      <c r="I34" s="427"/>
      <c r="J34" s="427"/>
      <c r="K34" s="427"/>
      <c r="L34" s="427"/>
    </row>
    <row r="35" spans="1:12" ht="36" customHeight="1" x14ac:dyDescent="0.3">
      <c r="A35" s="266" t="s">
        <v>1017</v>
      </c>
      <c r="B35" s="132" t="s">
        <v>1018</v>
      </c>
      <c r="C35" s="69" t="s">
        <v>1019</v>
      </c>
      <c r="D35" s="266" t="s">
        <v>484</v>
      </c>
      <c r="E35" s="305" t="s">
        <v>1020</v>
      </c>
      <c r="F35" s="427" t="s">
        <v>1021</v>
      </c>
      <c r="G35" s="427"/>
      <c r="H35" s="427"/>
      <c r="I35" s="427"/>
      <c r="J35" s="427"/>
      <c r="K35" s="427"/>
      <c r="L35" s="427"/>
    </row>
    <row r="38" spans="1:12" ht="18" customHeight="1" x14ac:dyDescent="0.3">
      <c r="A38" s="380" t="s">
        <v>1022</v>
      </c>
      <c r="B38" s="380"/>
      <c r="C38" s="380"/>
      <c r="D38" s="380"/>
      <c r="E38" s="380"/>
      <c r="F38" s="380"/>
      <c r="G38" s="380"/>
      <c r="H38" s="380"/>
      <c r="I38" s="380"/>
      <c r="J38" s="380"/>
      <c r="K38" s="380"/>
      <c r="L38" s="380"/>
    </row>
    <row r="39" spans="1:12" ht="24" customHeight="1" x14ac:dyDescent="0.3">
      <c r="A39" s="107" t="s">
        <v>950</v>
      </c>
      <c r="B39" s="107" t="s">
        <v>774</v>
      </c>
      <c r="C39" s="107" t="s">
        <v>951</v>
      </c>
      <c r="D39" s="107" t="s">
        <v>457</v>
      </c>
      <c r="E39" s="107" t="s">
        <v>952</v>
      </c>
      <c r="F39" s="107" t="s">
        <v>953</v>
      </c>
      <c r="G39" s="107"/>
      <c r="H39" s="107"/>
      <c r="I39" s="107"/>
      <c r="J39" s="107"/>
      <c r="K39" s="107"/>
      <c r="L39" s="107"/>
    </row>
    <row r="40" spans="1:12" ht="36" customHeight="1" x14ac:dyDescent="0.3">
      <c r="A40" s="264" t="s">
        <v>1023</v>
      </c>
      <c r="B40" s="22" t="s">
        <v>817</v>
      </c>
      <c r="C40" s="62" t="s">
        <v>1024</v>
      </c>
      <c r="D40" s="264" t="s">
        <v>825</v>
      </c>
      <c r="E40" s="306" t="s">
        <v>1025</v>
      </c>
      <c r="F40" s="427" t="s">
        <v>1026</v>
      </c>
      <c r="G40" s="427"/>
      <c r="H40" s="427"/>
      <c r="I40" s="427"/>
      <c r="J40" s="427"/>
      <c r="K40" s="427"/>
      <c r="L40" s="427"/>
    </row>
    <row r="41" spans="1:12" ht="36" customHeight="1" x14ac:dyDescent="0.3">
      <c r="A41" s="266" t="s">
        <v>1023</v>
      </c>
      <c r="B41" s="22" t="s">
        <v>817</v>
      </c>
      <c r="C41" s="69" t="s">
        <v>1027</v>
      </c>
      <c r="D41" s="266" t="s">
        <v>480</v>
      </c>
      <c r="E41" s="305" t="s">
        <v>1028</v>
      </c>
      <c r="F41" s="427" t="s">
        <v>1029</v>
      </c>
      <c r="G41" s="427"/>
      <c r="H41" s="427"/>
      <c r="I41" s="427"/>
      <c r="J41" s="427"/>
      <c r="K41" s="427"/>
      <c r="L41" s="427"/>
    </row>
    <row r="42" spans="1:12" ht="36" customHeight="1" x14ac:dyDescent="0.3">
      <c r="A42" s="264" t="s">
        <v>1023</v>
      </c>
      <c r="B42" s="22" t="s">
        <v>817</v>
      </c>
      <c r="C42" s="62" t="s">
        <v>1030</v>
      </c>
      <c r="D42" s="264" t="s">
        <v>480</v>
      </c>
      <c r="E42" s="306" t="s">
        <v>1031</v>
      </c>
      <c r="F42" s="427" t="s">
        <v>1032</v>
      </c>
      <c r="G42" s="427"/>
      <c r="H42" s="427"/>
      <c r="I42" s="427"/>
      <c r="J42" s="427"/>
      <c r="K42" s="427"/>
      <c r="L42" s="427"/>
    </row>
    <row r="43" spans="1:12" ht="36" customHeight="1" x14ac:dyDescent="0.3">
      <c r="A43" s="266" t="s">
        <v>1033</v>
      </c>
      <c r="B43" s="22" t="s">
        <v>817</v>
      </c>
      <c r="C43" s="69" t="s">
        <v>1034</v>
      </c>
      <c r="D43" s="266" t="s">
        <v>825</v>
      </c>
      <c r="E43" s="305" t="s">
        <v>1035</v>
      </c>
      <c r="F43" s="427" t="s">
        <v>1036</v>
      </c>
      <c r="G43" s="427"/>
      <c r="H43" s="427"/>
      <c r="I43" s="427"/>
      <c r="J43" s="427"/>
      <c r="K43" s="427"/>
      <c r="L43" s="427"/>
    </row>
    <row r="44" spans="1:12" ht="36" customHeight="1" x14ac:dyDescent="0.3">
      <c r="A44" s="264" t="s">
        <v>1033</v>
      </c>
      <c r="B44" s="22" t="s">
        <v>817</v>
      </c>
      <c r="C44" s="62" t="s">
        <v>1037</v>
      </c>
      <c r="D44" s="264" t="s">
        <v>825</v>
      </c>
      <c r="E44" s="306" t="s">
        <v>1038</v>
      </c>
      <c r="F44" s="427" t="s">
        <v>1039</v>
      </c>
      <c r="G44" s="427"/>
      <c r="H44" s="427"/>
      <c r="I44" s="427"/>
      <c r="J44" s="427"/>
      <c r="K44" s="427"/>
      <c r="L44" s="427"/>
    </row>
    <row r="45" spans="1:12" ht="36" customHeight="1" x14ac:dyDescent="0.3">
      <c r="A45" s="266" t="s">
        <v>1040</v>
      </c>
      <c r="B45" s="22" t="s">
        <v>817</v>
      </c>
      <c r="C45" s="69" t="s">
        <v>1041</v>
      </c>
      <c r="D45" s="266" t="s">
        <v>825</v>
      </c>
      <c r="E45" s="305" t="s">
        <v>1042</v>
      </c>
      <c r="F45" s="427" t="s">
        <v>1043</v>
      </c>
      <c r="G45" s="427"/>
      <c r="H45" s="427"/>
      <c r="I45" s="427"/>
      <c r="J45" s="427"/>
      <c r="K45" s="427"/>
      <c r="L45" s="427"/>
    </row>
    <row r="46" spans="1:12" ht="36" customHeight="1" x14ac:dyDescent="0.3">
      <c r="A46" s="264" t="s">
        <v>1040</v>
      </c>
      <c r="B46" s="20" t="s">
        <v>1001</v>
      </c>
      <c r="C46" s="62" t="s">
        <v>1044</v>
      </c>
      <c r="D46" s="264" t="s">
        <v>825</v>
      </c>
      <c r="E46" s="306" t="s">
        <v>1045</v>
      </c>
      <c r="F46" s="427" t="s">
        <v>1046</v>
      </c>
      <c r="G46" s="427"/>
      <c r="H46" s="427"/>
      <c r="I46" s="427"/>
      <c r="J46" s="427"/>
      <c r="K46" s="427"/>
      <c r="L46" s="427"/>
    </row>
    <row r="47" spans="1:12" ht="36" customHeight="1" x14ac:dyDescent="0.3">
      <c r="A47" s="266" t="s">
        <v>1047</v>
      </c>
      <c r="B47" s="132" t="s">
        <v>1008</v>
      </c>
      <c r="C47" s="69" t="s">
        <v>1048</v>
      </c>
      <c r="D47" s="266" t="s">
        <v>810</v>
      </c>
      <c r="E47" s="305" t="s">
        <v>1049</v>
      </c>
      <c r="F47" s="427" t="s">
        <v>1050</v>
      </c>
      <c r="G47" s="427"/>
      <c r="H47" s="427"/>
      <c r="I47" s="427"/>
      <c r="J47" s="427"/>
      <c r="K47" s="427"/>
      <c r="L47" s="427"/>
    </row>
    <row r="50" spans="1:12" ht="18" customHeight="1" x14ac:dyDescent="0.3">
      <c r="A50" s="404" t="s">
        <v>1051</v>
      </c>
      <c r="B50" s="404"/>
      <c r="C50" s="404"/>
      <c r="D50" s="404"/>
      <c r="E50" s="404"/>
      <c r="F50" s="404"/>
      <c r="G50" s="404"/>
      <c r="H50" s="404"/>
      <c r="I50" s="404"/>
      <c r="J50" s="404"/>
      <c r="K50" s="404"/>
      <c r="L50" s="404"/>
    </row>
    <row r="51" spans="1:12" ht="24" customHeight="1" x14ac:dyDescent="0.3">
      <c r="A51" s="175" t="s">
        <v>950</v>
      </c>
      <c r="B51" s="175" t="s">
        <v>774</v>
      </c>
      <c r="C51" s="175" t="s">
        <v>951</v>
      </c>
      <c r="D51" s="175" t="s">
        <v>457</v>
      </c>
      <c r="E51" s="175" t="s">
        <v>952</v>
      </c>
      <c r="F51" s="175" t="s">
        <v>953</v>
      </c>
      <c r="G51" s="175"/>
      <c r="H51" s="175"/>
      <c r="I51" s="175"/>
      <c r="J51" s="175"/>
      <c r="K51" s="175"/>
      <c r="L51" s="175"/>
    </row>
    <row r="52" spans="1:12" ht="36" customHeight="1" x14ac:dyDescent="0.3">
      <c r="A52" s="264" t="s">
        <v>1052</v>
      </c>
      <c r="B52" s="22" t="s">
        <v>817</v>
      </c>
      <c r="C52" s="62" t="s">
        <v>1053</v>
      </c>
      <c r="D52" s="264" t="s">
        <v>480</v>
      </c>
      <c r="E52" s="306" t="s">
        <v>1054</v>
      </c>
      <c r="F52" s="427" t="s">
        <v>1055</v>
      </c>
      <c r="G52" s="427"/>
      <c r="H52" s="427"/>
      <c r="I52" s="427"/>
      <c r="J52" s="427"/>
      <c r="K52" s="427"/>
      <c r="L52" s="427"/>
    </row>
    <row r="53" spans="1:12" ht="36" customHeight="1" x14ac:dyDescent="0.3">
      <c r="A53" s="266" t="s">
        <v>1052</v>
      </c>
      <c r="B53" s="22" t="s">
        <v>817</v>
      </c>
      <c r="C53" s="69" t="s">
        <v>1056</v>
      </c>
      <c r="D53" s="266" t="s">
        <v>825</v>
      </c>
      <c r="E53" s="305" t="s">
        <v>1057</v>
      </c>
      <c r="F53" s="427" t="s">
        <v>1058</v>
      </c>
      <c r="G53" s="427"/>
      <c r="H53" s="427"/>
      <c r="I53" s="427"/>
      <c r="J53" s="427"/>
      <c r="K53" s="427"/>
      <c r="L53" s="427"/>
    </row>
    <row r="54" spans="1:12" ht="36" customHeight="1" x14ac:dyDescent="0.3">
      <c r="A54" s="264" t="s">
        <v>1059</v>
      </c>
      <c r="B54" s="22" t="s">
        <v>817</v>
      </c>
      <c r="C54" s="62" t="s">
        <v>1060</v>
      </c>
      <c r="D54" s="264" t="s">
        <v>825</v>
      </c>
      <c r="E54" s="306" t="s">
        <v>1061</v>
      </c>
      <c r="F54" s="427" t="s">
        <v>1062</v>
      </c>
      <c r="G54" s="427"/>
      <c r="H54" s="427"/>
      <c r="I54" s="427"/>
      <c r="J54" s="427"/>
      <c r="K54" s="427"/>
      <c r="L54" s="427"/>
    </row>
    <row r="55" spans="1:12" ht="36" customHeight="1" x14ac:dyDescent="0.3">
      <c r="A55" s="266" t="s">
        <v>1059</v>
      </c>
      <c r="B55" s="22" t="s">
        <v>817</v>
      </c>
      <c r="C55" s="69" t="s">
        <v>1063</v>
      </c>
      <c r="D55" s="266" t="s">
        <v>825</v>
      </c>
      <c r="E55" s="305" t="s">
        <v>1064</v>
      </c>
      <c r="F55" s="427" t="s">
        <v>1065</v>
      </c>
      <c r="G55" s="427"/>
      <c r="H55" s="427"/>
      <c r="I55" s="427"/>
      <c r="J55" s="427"/>
      <c r="K55" s="427"/>
      <c r="L55" s="427"/>
    </row>
    <row r="56" spans="1:12" ht="36" customHeight="1" x14ac:dyDescent="0.3">
      <c r="A56" s="264" t="s">
        <v>1066</v>
      </c>
      <c r="B56" s="22" t="s">
        <v>817</v>
      </c>
      <c r="C56" s="62" t="s">
        <v>1067</v>
      </c>
      <c r="D56" s="264" t="s">
        <v>825</v>
      </c>
      <c r="E56" s="306" t="s">
        <v>1068</v>
      </c>
      <c r="F56" s="427" t="s">
        <v>1069</v>
      </c>
      <c r="G56" s="427"/>
      <c r="H56" s="427"/>
      <c r="I56" s="427"/>
      <c r="J56" s="427"/>
      <c r="K56" s="427"/>
      <c r="L56" s="427"/>
    </row>
    <row r="57" spans="1:12" ht="36" customHeight="1" x14ac:dyDescent="0.3">
      <c r="A57" s="266" t="s">
        <v>1070</v>
      </c>
      <c r="B57" s="20" t="s">
        <v>1001</v>
      </c>
      <c r="C57" s="69" t="s">
        <v>1071</v>
      </c>
      <c r="D57" s="266" t="s">
        <v>1072</v>
      </c>
      <c r="E57" s="305" t="s">
        <v>1073</v>
      </c>
      <c r="F57" s="427" t="s">
        <v>1074</v>
      </c>
      <c r="G57" s="427"/>
      <c r="H57" s="427"/>
      <c r="I57" s="427"/>
      <c r="J57" s="427"/>
      <c r="K57" s="427"/>
      <c r="L57" s="427"/>
    </row>
    <row r="58" spans="1:12" ht="36" customHeight="1" x14ac:dyDescent="0.3">
      <c r="A58" s="264" t="s">
        <v>1070</v>
      </c>
      <c r="B58" s="132" t="s">
        <v>1008</v>
      </c>
      <c r="C58" s="62" t="s">
        <v>1075</v>
      </c>
      <c r="D58" s="264" t="s">
        <v>1076</v>
      </c>
      <c r="E58" s="306" t="s">
        <v>1077</v>
      </c>
      <c r="F58" s="427" t="s">
        <v>1078</v>
      </c>
      <c r="G58" s="427"/>
      <c r="H58" s="427"/>
      <c r="I58" s="427"/>
      <c r="J58" s="427"/>
      <c r="K58" s="427"/>
      <c r="L58" s="427"/>
    </row>
    <row r="61" spans="1:12" ht="18" customHeight="1" x14ac:dyDescent="0.3">
      <c r="A61" s="361" t="s">
        <v>1079</v>
      </c>
      <c r="B61" s="361"/>
      <c r="C61" s="361"/>
      <c r="D61" s="361"/>
      <c r="E61" s="361"/>
      <c r="F61" s="361"/>
      <c r="G61" s="361"/>
      <c r="H61" s="361"/>
      <c r="I61" s="361"/>
      <c r="J61" s="361"/>
      <c r="K61" s="361"/>
      <c r="L61" s="361"/>
    </row>
    <row r="62" spans="1:12" ht="24" customHeight="1" x14ac:dyDescent="0.3">
      <c r="A62" s="47" t="s">
        <v>950</v>
      </c>
      <c r="B62" s="47" t="s">
        <v>774</v>
      </c>
      <c r="C62" s="47" t="s">
        <v>951</v>
      </c>
      <c r="D62" s="47" t="s">
        <v>457</v>
      </c>
      <c r="E62" s="47" t="s">
        <v>952</v>
      </c>
      <c r="F62" s="47" t="s">
        <v>953</v>
      </c>
      <c r="G62" s="47"/>
      <c r="H62" s="47"/>
      <c r="I62" s="47"/>
      <c r="J62" s="47"/>
      <c r="K62" s="47"/>
      <c r="L62" s="47"/>
    </row>
    <row r="63" spans="1:12" ht="36" customHeight="1" x14ac:dyDescent="0.3">
      <c r="A63" s="266" t="s">
        <v>1080</v>
      </c>
      <c r="B63" s="22" t="s">
        <v>817</v>
      </c>
      <c r="C63" s="69" t="s">
        <v>1081</v>
      </c>
      <c r="D63" s="266" t="s">
        <v>480</v>
      </c>
      <c r="E63" s="305" t="s">
        <v>1082</v>
      </c>
      <c r="F63" s="427" t="s">
        <v>1083</v>
      </c>
      <c r="G63" s="427"/>
      <c r="H63" s="427"/>
      <c r="I63" s="427"/>
      <c r="J63" s="427"/>
      <c r="K63" s="427"/>
      <c r="L63" s="427"/>
    </row>
    <row r="64" spans="1:12" ht="36" customHeight="1" x14ac:dyDescent="0.3">
      <c r="A64" s="264" t="s">
        <v>1080</v>
      </c>
      <c r="B64" s="22" t="s">
        <v>817</v>
      </c>
      <c r="C64" s="62" t="s">
        <v>1084</v>
      </c>
      <c r="D64" s="264" t="s">
        <v>825</v>
      </c>
      <c r="E64" s="306" t="s">
        <v>1085</v>
      </c>
      <c r="F64" s="427" t="s">
        <v>1086</v>
      </c>
      <c r="G64" s="427"/>
      <c r="H64" s="427"/>
      <c r="I64" s="427"/>
      <c r="J64" s="427"/>
      <c r="K64" s="427"/>
      <c r="L64" s="427"/>
    </row>
    <row r="65" spans="1:12" ht="36" customHeight="1" x14ac:dyDescent="0.3">
      <c r="A65" s="266" t="s">
        <v>1087</v>
      </c>
      <c r="B65" s="22" t="s">
        <v>817</v>
      </c>
      <c r="C65" s="69" t="s">
        <v>1088</v>
      </c>
      <c r="D65" s="266" t="s">
        <v>825</v>
      </c>
      <c r="E65" s="305" t="s">
        <v>1089</v>
      </c>
      <c r="F65" s="427" t="s">
        <v>1090</v>
      </c>
      <c r="G65" s="427"/>
      <c r="H65" s="427"/>
      <c r="I65" s="427"/>
      <c r="J65" s="427"/>
      <c r="K65" s="427"/>
      <c r="L65" s="427"/>
    </row>
    <row r="66" spans="1:12" ht="36" customHeight="1" x14ac:dyDescent="0.3">
      <c r="A66" s="264" t="s">
        <v>1087</v>
      </c>
      <c r="B66" s="22" t="s">
        <v>817</v>
      </c>
      <c r="C66" s="62" t="s">
        <v>1091</v>
      </c>
      <c r="D66" s="264" t="s">
        <v>825</v>
      </c>
      <c r="E66" s="306" t="s">
        <v>1092</v>
      </c>
      <c r="F66" s="427" t="s">
        <v>1093</v>
      </c>
      <c r="G66" s="427"/>
      <c r="H66" s="427"/>
      <c r="I66" s="427"/>
      <c r="J66" s="427"/>
      <c r="K66" s="427"/>
      <c r="L66" s="427"/>
    </row>
    <row r="67" spans="1:12" ht="36" customHeight="1" x14ac:dyDescent="0.3">
      <c r="A67" s="266" t="s">
        <v>1094</v>
      </c>
      <c r="B67" s="22" t="s">
        <v>817</v>
      </c>
      <c r="C67" s="69" t="s">
        <v>1095</v>
      </c>
      <c r="D67" s="266" t="s">
        <v>825</v>
      </c>
      <c r="E67" s="305" t="s">
        <v>1096</v>
      </c>
      <c r="F67" s="427" t="s">
        <v>1097</v>
      </c>
      <c r="G67" s="427"/>
      <c r="H67" s="427"/>
      <c r="I67" s="427"/>
      <c r="J67" s="427"/>
      <c r="K67" s="427"/>
      <c r="L67" s="427"/>
    </row>
    <row r="68" spans="1:12" ht="36" customHeight="1" x14ac:dyDescent="0.3">
      <c r="A68" s="264" t="s">
        <v>1094</v>
      </c>
      <c r="B68" s="22" t="s">
        <v>817</v>
      </c>
      <c r="C68" s="62" t="s">
        <v>1098</v>
      </c>
      <c r="D68" s="264" t="s">
        <v>825</v>
      </c>
      <c r="E68" s="306" t="s">
        <v>1099</v>
      </c>
      <c r="F68" s="427" t="s">
        <v>1100</v>
      </c>
      <c r="G68" s="427"/>
      <c r="H68" s="427"/>
      <c r="I68" s="427"/>
      <c r="J68" s="427"/>
      <c r="K68" s="427"/>
      <c r="L68" s="427"/>
    </row>
    <row r="69" spans="1:12" ht="36" customHeight="1" x14ac:dyDescent="0.3">
      <c r="A69" s="266" t="s">
        <v>1101</v>
      </c>
      <c r="B69" s="20" t="s">
        <v>1001</v>
      </c>
      <c r="C69" s="69" t="s">
        <v>1102</v>
      </c>
      <c r="D69" s="266" t="s">
        <v>1103</v>
      </c>
      <c r="E69" s="305" t="s">
        <v>1104</v>
      </c>
      <c r="F69" s="427" t="s">
        <v>1105</v>
      </c>
      <c r="G69" s="427"/>
      <c r="H69" s="427"/>
      <c r="I69" s="427"/>
      <c r="J69" s="427"/>
      <c r="K69" s="427"/>
      <c r="L69" s="427"/>
    </row>
    <row r="70" spans="1:12" ht="36" customHeight="1" x14ac:dyDescent="0.3">
      <c r="A70" s="264" t="s">
        <v>1101</v>
      </c>
      <c r="B70" s="132" t="s">
        <v>1008</v>
      </c>
      <c r="C70" s="62" t="s">
        <v>1106</v>
      </c>
      <c r="D70" s="264" t="s">
        <v>810</v>
      </c>
      <c r="E70" s="306" t="s">
        <v>1107</v>
      </c>
      <c r="F70" s="427" t="s">
        <v>1108</v>
      </c>
      <c r="G70" s="427"/>
      <c r="H70" s="427"/>
      <c r="I70" s="427"/>
      <c r="J70" s="427"/>
      <c r="K70" s="427"/>
      <c r="L70" s="427"/>
    </row>
    <row r="73" spans="1:12" ht="18" customHeight="1" x14ac:dyDescent="0.3">
      <c r="A73" s="380" t="s">
        <v>1109</v>
      </c>
      <c r="B73" s="380"/>
      <c r="C73" s="380"/>
      <c r="D73" s="380"/>
      <c r="E73" s="380"/>
      <c r="F73" s="380"/>
      <c r="G73" s="380"/>
      <c r="H73" s="380"/>
      <c r="I73" s="380"/>
      <c r="J73" s="380"/>
      <c r="K73" s="380"/>
      <c r="L73" s="380"/>
    </row>
    <row r="74" spans="1:12" ht="24" customHeight="1" x14ac:dyDescent="0.3">
      <c r="A74" s="107" t="s">
        <v>950</v>
      </c>
      <c r="B74" s="107" t="s">
        <v>774</v>
      </c>
      <c r="C74" s="107" t="s">
        <v>951</v>
      </c>
      <c r="D74" s="107" t="s">
        <v>457</v>
      </c>
      <c r="E74" s="107" t="s">
        <v>952</v>
      </c>
      <c r="F74" s="107" t="s">
        <v>953</v>
      </c>
      <c r="G74" s="107"/>
      <c r="H74" s="107"/>
      <c r="I74" s="107"/>
      <c r="J74" s="107"/>
      <c r="K74" s="107"/>
      <c r="L74" s="107"/>
    </row>
    <row r="75" spans="1:12" ht="36" customHeight="1" x14ac:dyDescent="0.3">
      <c r="A75" s="266" t="s">
        <v>1110</v>
      </c>
      <c r="B75" s="132" t="s">
        <v>1008</v>
      </c>
      <c r="C75" s="69" t="s">
        <v>1111</v>
      </c>
      <c r="D75" s="266" t="s">
        <v>480</v>
      </c>
      <c r="E75" s="305" t="s">
        <v>1112</v>
      </c>
      <c r="F75" s="427" t="s">
        <v>1113</v>
      </c>
      <c r="G75" s="427"/>
      <c r="H75" s="427"/>
      <c r="I75" s="427"/>
      <c r="J75" s="427"/>
      <c r="K75" s="427"/>
      <c r="L75" s="427"/>
    </row>
    <row r="76" spans="1:12" ht="36" customHeight="1" x14ac:dyDescent="0.3">
      <c r="A76" s="264" t="s">
        <v>1110</v>
      </c>
      <c r="B76" s="132" t="s">
        <v>1008</v>
      </c>
      <c r="C76" s="62" t="s">
        <v>1114</v>
      </c>
      <c r="D76" s="264" t="s">
        <v>825</v>
      </c>
      <c r="E76" s="306" t="s">
        <v>1115</v>
      </c>
      <c r="F76" s="427" t="s">
        <v>1116</v>
      </c>
      <c r="G76" s="427"/>
      <c r="H76" s="427"/>
      <c r="I76" s="427"/>
      <c r="J76" s="427"/>
      <c r="K76" s="427"/>
      <c r="L76" s="427"/>
    </row>
    <row r="77" spans="1:12" ht="36" customHeight="1" x14ac:dyDescent="0.3">
      <c r="A77" s="266" t="s">
        <v>1110</v>
      </c>
      <c r="B77" s="23" t="s">
        <v>839</v>
      </c>
      <c r="C77" s="69" t="s">
        <v>1117</v>
      </c>
      <c r="D77" s="266" t="s">
        <v>1118</v>
      </c>
      <c r="E77" s="305" t="s">
        <v>1119</v>
      </c>
      <c r="F77" s="427" t="s">
        <v>1120</v>
      </c>
      <c r="G77" s="427"/>
      <c r="H77" s="427"/>
      <c r="I77" s="427"/>
      <c r="J77" s="427"/>
      <c r="K77" s="427"/>
      <c r="L77" s="427"/>
    </row>
    <row r="78" spans="1:12" ht="36" customHeight="1" x14ac:dyDescent="0.3">
      <c r="A78" s="264" t="s">
        <v>1121</v>
      </c>
      <c r="B78" s="23" t="s">
        <v>839</v>
      </c>
      <c r="C78" s="62" t="s">
        <v>1122</v>
      </c>
      <c r="D78" s="264" t="s">
        <v>1123</v>
      </c>
      <c r="E78" s="306" t="s">
        <v>1124</v>
      </c>
      <c r="F78" s="427" t="s">
        <v>1125</v>
      </c>
      <c r="G78" s="427"/>
      <c r="H78" s="427"/>
      <c r="I78" s="427"/>
      <c r="J78" s="427"/>
      <c r="K78" s="427"/>
      <c r="L78" s="427"/>
    </row>
    <row r="79" spans="1:12" ht="36" customHeight="1" x14ac:dyDescent="0.3">
      <c r="A79" s="266" t="s">
        <v>1121</v>
      </c>
      <c r="B79" s="132" t="s">
        <v>1126</v>
      </c>
      <c r="C79" s="69" t="s">
        <v>1127</v>
      </c>
      <c r="D79" s="266" t="s">
        <v>480</v>
      </c>
      <c r="E79" s="305" t="s">
        <v>1128</v>
      </c>
      <c r="F79" s="427" t="s">
        <v>1129</v>
      </c>
      <c r="G79" s="427"/>
      <c r="H79" s="427"/>
      <c r="I79" s="427"/>
      <c r="J79" s="427"/>
      <c r="K79" s="427"/>
      <c r="L79" s="427"/>
    </row>
    <row r="80" spans="1:12" ht="36" customHeight="1" x14ac:dyDescent="0.3">
      <c r="A80" s="264" t="s">
        <v>1121</v>
      </c>
      <c r="B80" s="132" t="s">
        <v>1126</v>
      </c>
      <c r="C80" s="62" t="s">
        <v>1130</v>
      </c>
      <c r="D80" s="264" t="s">
        <v>784</v>
      </c>
      <c r="E80" s="306" t="s">
        <v>1131</v>
      </c>
      <c r="F80" s="427" t="s">
        <v>1132</v>
      </c>
      <c r="G80" s="427"/>
      <c r="H80" s="427"/>
      <c r="I80" s="427"/>
      <c r="J80" s="427"/>
      <c r="K80" s="427"/>
      <c r="L80" s="427"/>
    </row>
    <row r="81" spans="1:12" ht="36" customHeight="1" x14ac:dyDescent="0.3">
      <c r="A81" s="266" t="s">
        <v>1133</v>
      </c>
      <c r="B81" s="132" t="s">
        <v>970</v>
      </c>
      <c r="C81" s="69" t="s">
        <v>1134</v>
      </c>
      <c r="D81" s="266" t="s">
        <v>784</v>
      </c>
      <c r="E81" s="305" t="s">
        <v>1135</v>
      </c>
      <c r="F81" s="427" t="s">
        <v>1136</v>
      </c>
      <c r="G81" s="427"/>
      <c r="H81" s="427"/>
      <c r="I81" s="427"/>
      <c r="J81" s="427"/>
      <c r="K81" s="427"/>
      <c r="L81" s="427"/>
    </row>
    <row r="82" spans="1:12" ht="36" customHeight="1" x14ac:dyDescent="0.3">
      <c r="A82" s="264" t="s">
        <v>1137</v>
      </c>
      <c r="B82" s="132" t="s">
        <v>1138</v>
      </c>
      <c r="C82" s="62" t="s">
        <v>1139</v>
      </c>
      <c r="D82" s="264" t="s">
        <v>484</v>
      </c>
      <c r="E82" s="306" t="s">
        <v>1140</v>
      </c>
      <c r="F82" s="427" t="s">
        <v>1141</v>
      </c>
      <c r="G82" s="427"/>
      <c r="H82" s="427"/>
      <c r="I82" s="427"/>
      <c r="J82" s="427"/>
      <c r="K82" s="427"/>
      <c r="L82" s="427"/>
    </row>
  </sheetData>
  <mergeCells count="57">
    <mergeCell ref="F81:L81"/>
    <mergeCell ref="F82:L82"/>
    <mergeCell ref="F76:L76"/>
    <mergeCell ref="F77:L77"/>
    <mergeCell ref="F78:L78"/>
    <mergeCell ref="F79:L79"/>
    <mergeCell ref="F80:L80"/>
    <mergeCell ref="F68:L68"/>
    <mergeCell ref="F69:L69"/>
    <mergeCell ref="F70:L70"/>
    <mergeCell ref="A73:L73"/>
    <mergeCell ref="F75:L75"/>
    <mergeCell ref="F63:L63"/>
    <mergeCell ref="F64:L64"/>
    <mergeCell ref="F65:L65"/>
    <mergeCell ref="F66:L66"/>
    <mergeCell ref="F67:L67"/>
    <mergeCell ref="F55:L55"/>
    <mergeCell ref="F56:L56"/>
    <mergeCell ref="F57:L57"/>
    <mergeCell ref="F58:L58"/>
    <mergeCell ref="A61:L61"/>
    <mergeCell ref="F47:L47"/>
    <mergeCell ref="A50:L50"/>
    <mergeCell ref="F52:L52"/>
    <mergeCell ref="F53:L53"/>
    <mergeCell ref="F54:L54"/>
    <mergeCell ref="F42:L42"/>
    <mergeCell ref="F43:L43"/>
    <mergeCell ref="F44:L44"/>
    <mergeCell ref="F45:L45"/>
    <mergeCell ref="F46:L46"/>
    <mergeCell ref="F34:L34"/>
    <mergeCell ref="F35:L35"/>
    <mergeCell ref="A38:L38"/>
    <mergeCell ref="F40:L40"/>
    <mergeCell ref="F41:L41"/>
    <mergeCell ref="F29:L29"/>
    <mergeCell ref="F30:L30"/>
    <mergeCell ref="F31:L31"/>
    <mergeCell ref="F32:L32"/>
    <mergeCell ref="F33:L33"/>
    <mergeCell ref="F21:L21"/>
    <mergeCell ref="F22:L22"/>
    <mergeCell ref="F23:L23"/>
    <mergeCell ref="F24:L24"/>
    <mergeCell ref="A27:L27"/>
    <mergeCell ref="F16:L16"/>
    <mergeCell ref="F17:L17"/>
    <mergeCell ref="F18:L18"/>
    <mergeCell ref="F19:L19"/>
    <mergeCell ref="F20:L20"/>
    <mergeCell ref="A1:L1"/>
    <mergeCell ref="A2:L2"/>
    <mergeCell ref="A4:L4"/>
    <mergeCell ref="A13:L13"/>
    <mergeCell ref="F15:L1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85"/>
  <sheetViews>
    <sheetView showGridLines="0" tabSelected="1" topLeftCell="A19" zoomScaleNormal="100" workbookViewId="0">
      <selection activeCell="H16" sqref="H16"/>
    </sheetView>
  </sheetViews>
  <sheetFormatPr defaultColWidth="8.6640625" defaultRowHeight="14.4" x14ac:dyDescent="0.3"/>
  <cols>
    <col min="1" max="1" width="17.44140625" customWidth="1"/>
    <col min="2" max="2" width="28.21875" customWidth="1"/>
    <col min="3" max="6" width="22" customWidth="1"/>
    <col min="7" max="7" width="52" customWidth="1"/>
    <col min="8" max="8" width="22" customWidth="1"/>
    <col min="9" max="12" width="12" customWidth="1"/>
  </cols>
  <sheetData>
    <row r="1" spans="1:12" ht="27.75" customHeight="1" x14ac:dyDescent="0.3">
      <c r="A1" s="7" t="s">
        <v>1142</v>
      </c>
      <c r="B1" s="7"/>
      <c r="C1" s="7"/>
      <c r="D1" s="7"/>
      <c r="E1" s="7"/>
      <c r="F1" s="7"/>
      <c r="G1" s="7"/>
      <c r="H1" s="7"/>
      <c r="I1" s="198"/>
      <c r="J1" s="198"/>
      <c r="K1" s="198"/>
      <c r="L1" s="198"/>
    </row>
    <row r="2" spans="1:12" ht="13.5" customHeight="1" x14ac:dyDescent="0.3">
      <c r="A2" s="388" t="s">
        <v>1143</v>
      </c>
      <c r="B2" s="388"/>
      <c r="C2" s="388"/>
      <c r="D2" s="388"/>
      <c r="E2" s="388"/>
      <c r="F2" s="388"/>
      <c r="G2" s="388"/>
      <c r="H2" s="388"/>
      <c r="I2" s="198"/>
      <c r="J2" s="198"/>
      <c r="K2" s="198"/>
      <c r="L2" s="198"/>
    </row>
    <row r="3" spans="1:12" ht="15" customHeight="1" x14ac:dyDescent="0.3">
      <c r="A3" s="198"/>
      <c r="B3" s="198"/>
      <c r="C3" s="198"/>
      <c r="D3" s="198"/>
      <c r="E3" s="198"/>
      <c r="F3" s="198"/>
      <c r="G3" s="198"/>
      <c r="H3" s="198"/>
      <c r="I3" s="198"/>
      <c r="J3" s="198"/>
      <c r="K3" s="198"/>
      <c r="L3" s="198"/>
    </row>
    <row r="4" spans="1:12" ht="18" customHeight="1" x14ac:dyDescent="0.3">
      <c r="A4" s="5" t="s">
        <v>1144</v>
      </c>
      <c r="B4" s="5"/>
      <c r="C4" s="5"/>
      <c r="D4" s="5"/>
      <c r="E4" s="5"/>
      <c r="F4" s="5"/>
      <c r="G4" s="5"/>
      <c r="H4" s="5"/>
      <c r="I4" s="198"/>
      <c r="J4" s="198"/>
      <c r="K4" s="198"/>
      <c r="L4" s="198"/>
    </row>
    <row r="5" spans="1:12" ht="18" customHeight="1" x14ac:dyDescent="0.3">
      <c r="A5" s="18" t="s">
        <v>1145</v>
      </c>
      <c r="B5" s="217">
        <f>Assumptions!C66</f>
        <v>29455.17</v>
      </c>
      <c r="C5" s="428"/>
      <c r="D5" s="428"/>
      <c r="E5" s="428"/>
      <c r="F5" s="428"/>
      <c r="G5" s="428"/>
      <c r="H5" s="428"/>
      <c r="I5" s="212"/>
      <c r="J5" s="212"/>
      <c r="K5" s="212"/>
      <c r="L5" s="212"/>
    </row>
    <row r="6" spans="1:12" ht="18" customHeight="1" x14ac:dyDescent="0.3">
      <c r="A6" s="18" t="s">
        <v>1146</v>
      </c>
      <c r="B6" s="217">
        <f>'Cost Comparison'!B39</f>
        <v>4496.0457703526999</v>
      </c>
      <c r="C6" s="429"/>
      <c r="D6" s="429"/>
      <c r="E6" s="429"/>
      <c r="F6" s="429"/>
      <c r="G6" s="429"/>
      <c r="H6" s="429"/>
      <c r="I6" s="198"/>
      <c r="J6" s="198"/>
      <c r="K6" s="198"/>
      <c r="L6" s="198"/>
    </row>
    <row r="7" spans="1:12" ht="18" customHeight="1" x14ac:dyDescent="0.3">
      <c r="A7" s="18" t="s">
        <v>1147</v>
      </c>
      <c r="B7" s="155">
        <f>'Migration Plan &amp; Costs'!C60</f>
        <v>121370.23417263363</v>
      </c>
      <c r="C7" s="430"/>
      <c r="D7" s="430"/>
      <c r="E7" s="430"/>
      <c r="F7" s="430"/>
      <c r="G7" s="430"/>
      <c r="H7" s="430"/>
      <c r="I7" s="198"/>
      <c r="J7" s="198"/>
      <c r="K7" s="198"/>
      <c r="L7" s="198"/>
    </row>
    <row r="8" spans="1:12" ht="18" customHeight="1" x14ac:dyDescent="0.3">
      <c r="A8" s="18" t="s">
        <v>1148</v>
      </c>
      <c r="B8" s="257">
        <f>Assumptions!C63</f>
        <v>0.05</v>
      </c>
      <c r="C8" s="431"/>
      <c r="D8" s="431"/>
      <c r="E8" s="431"/>
      <c r="F8" s="431"/>
      <c r="G8" s="431"/>
      <c r="H8" s="431"/>
      <c r="I8" s="198"/>
      <c r="J8" s="198"/>
      <c r="K8" s="198"/>
      <c r="L8" s="198"/>
    </row>
    <row r="9" spans="1:12" ht="18" customHeight="1" x14ac:dyDescent="0.3">
      <c r="A9" s="18" t="s">
        <v>1149</v>
      </c>
      <c r="B9" s="155">
        <f>B5-B6</f>
        <v>24959.124229647299</v>
      </c>
      <c r="C9" s="432"/>
      <c r="D9" s="432"/>
      <c r="E9" s="432"/>
      <c r="F9" s="432"/>
      <c r="G9" s="432"/>
      <c r="H9" s="432"/>
      <c r="I9" s="198"/>
      <c r="J9" s="198"/>
      <c r="K9" s="198"/>
      <c r="L9" s="198"/>
    </row>
    <row r="10" spans="1:12" ht="18" customHeight="1" x14ac:dyDescent="0.3">
      <c r="A10" s="18" t="s">
        <v>1150</v>
      </c>
      <c r="B10" s="216">
        <v>6</v>
      </c>
      <c r="C10" s="431"/>
      <c r="D10" s="431"/>
      <c r="E10" s="431"/>
      <c r="F10" s="431"/>
      <c r="G10" s="431"/>
      <c r="H10" s="431"/>
      <c r="I10" s="198"/>
      <c r="J10" s="198"/>
      <c r="K10" s="198"/>
      <c r="L10" s="198"/>
    </row>
    <row r="11" spans="1:12" ht="18" customHeight="1" x14ac:dyDescent="0.3">
      <c r="A11" s="18" t="s">
        <v>1151</v>
      </c>
      <c r="B11" s="217">
        <f>SUM(D17:D22)</f>
        <v>20557.64</v>
      </c>
      <c r="C11" s="407" t="s">
        <v>1152</v>
      </c>
      <c r="D11" s="407"/>
      <c r="E11" s="407"/>
      <c r="F11" s="407"/>
      <c r="G11" s="407"/>
      <c r="H11" s="407"/>
    </row>
    <row r="12" spans="1:12" ht="18" customHeight="1" x14ac:dyDescent="0.3">
      <c r="A12" s="25" t="s">
        <v>1153</v>
      </c>
      <c r="B12" s="261">
        <f>(B7+B11)/B9</f>
        <v>5.6864124264443081</v>
      </c>
      <c r="C12" s="433" t="str">
        <f>TEXT((B7+B11)/B9,"0.0")&amp;" months from Jan 2027  ≈  May 2027  |  (migration $121,370 + AWS overlap $24,791) ÷ monthly saving"</f>
        <v>5.7 months from Jan 2027  ≈  May 2027  |  (migration $121,370 + AWS overlap $24,791) ÷ monthly saving</v>
      </c>
      <c r="D12" s="433"/>
      <c r="E12" s="433"/>
      <c r="F12" s="433"/>
      <c r="G12" s="433"/>
      <c r="H12" s="433"/>
    </row>
    <row r="13" spans="1:12" ht="15.75" customHeight="1" x14ac:dyDescent="0.3">
      <c r="A13" s="428"/>
      <c r="B13" s="428"/>
      <c r="C13" s="428"/>
      <c r="D13" s="428"/>
      <c r="E13" s="428"/>
      <c r="F13" s="428"/>
      <c r="G13" s="428"/>
      <c r="H13" s="428"/>
      <c r="I13" s="198"/>
      <c r="J13" s="198"/>
      <c r="K13" s="198"/>
      <c r="L13" s="198"/>
    </row>
    <row r="14" spans="1:12" ht="48" customHeight="1" x14ac:dyDescent="0.3">
      <c r="A14" s="309" t="s">
        <v>1154</v>
      </c>
      <c r="B14" s="97"/>
      <c r="C14" s="97"/>
      <c r="D14" s="97"/>
      <c r="E14" s="97"/>
      <c r="F14" s="97"/>
      <c r="G14" s="97"/>
      <c r="H14" s="310"/>
      <c r="I14" s="198"/>
      <c r="J14" s="198"/>
      <c r="K14" s="198"/>
      <c r="L14" s="198"/>
    </row>
    <row r="15" spans="1:12" ht="51.75" customHeight="1" x14ac:dyDescent="0.3">
      <c r="A15" s="311" t="s">
        <v>1155</v>
      </c>
      <c r="B15" s="97"/>
      <c r="C15" s="97"/>
      <c r="D15" s="97"/>
      <c r="E15" s="97"/>
      <c r="F15" s="97"/>
      <c r="G15" s="97"/>
      <c r="H15" s="310"/>
      <c r="I15" s="212"/>
      <c r="J15" s="212"/>
      <c r="K15" s="212"/>
      <c r="L15" s="212"/>
    </row>
    <row r="16" spans="1:12" ht="51.75" customHeight="1" x14ac:dyDescent="0.3">
      <c r="A16" s="312" t="s">
        <v>3</v>
      </c>
      <c r="B16" s="16" t="s">
        <v>1156</v>
      </c>
      <c r="C16" s="230" t="s">
        <v>1157</v>
      </c>
      <c r="D16" s="230" t="s">
        <v>1158</v>
      </c>
      <c r="E16" s="230" t="s">
        <v>1159</v>
      </c>
      <c r="F16" s="230" t="s">
        <v>1160</v>
      </c>
      <c r="G16" s="230" t="s">
        <v>1161</v>
      </c>
      <c r="H16" s="230" t="s">
        <v>1162</v>
      </c>
      <c r="I16" s="307"/>
      <c r="J16" s="212"/>
      <c r="K16" s="307"/>
      <c r="L16" s="307"/>
    </row>
    <row r="17" spans="1:12" ht="51.75" customHeight="1" x14ac:dyDescent="0.3">
      <c r="A17" s="313">
        <v>1</v>
      </c>
      <c r="B17" s="35" t="s">
        <v>1163</v>
      </c>
      <c r="C17" s="207">
        <v>29455.17</v>
      </c>
      <c r="D17" s="179">
        <v>1559.61</v>
      </c>
      <c r="E17" s="314">
        <f t="shared" ref="E17:E22" si="0">C17+D17+F17</f>
        <v>55068.83</v>
      </c>
      <c r="F17" s="315">
        <v>24054.05</v>
      </c>
      <c r="G17" s="316" t="s">
        <v>1164</v>
      </c>
      <c r="H17" s="317">
        <f>-SUM(D17:D17)-SUM(F17:F17)</f>
        <v>-25613.66</v>
      </c>
      <c r="I17" s="307"/>
      <c r="J17" s="212"/>
      <c r="K17" s="307"/>
      <c r="L17" s="307"/>
    </row>
    <row r="18" spans="1:12" ht="51.75" customHeight="1" x14ac:dyDescent="0.3">
      <c r="A18" s="318">
        <v>2</v>
      </c>
      <c r="B18" s="33" t="s">
        <v>1165</v>
      </c>
      <c r="C18" s="207">
        <v>29455.17</v>
      </c>
      <c r="D18" s="179">
        <v>2700.82</v>
      </c>
      <c r="E18" s="314">
        <f t="shared" si="0"/>
        <v>49509.02</v>
      </c>
      <c r="F18" s="315">
        <v>17353.03</v>
      </c>
      <c r="G18" s="319" t="s">
        <v>1166</v>
      </c>
      <c r="H18" s="317">
        <f>-SUM(D17:D18)-SUM(F17:F18)</f>
        <v>-45667.51</v>
      </c>
      <c r="I18" s="307"/>
      <c r="J18" s="212"/>
      <c r="K18" s="307"/>
      <c r="L18" s="307"/>
    </row>
    <row r="19" spans="1:12" ht="51.75" customHeight="1" x14ac:dyDescent="0.3">
      <c r="A19" s="313">
        <v>3</v>
      </c>
      <c r="B19" s="35" t="s">
        <v>1167</v>
      </c>
      <c r="C19" s="207">
        <v>29455.17</v>
      </c>
      <c r="D19" s="179">
        <v>4202.83</v>
      </c>
      <c r="E19" s="314">
        <f t="shared" si="0"/>
        <v>62213.06</v>
      </c>
      <c r="F19" s="315">
        <v>28555.06</v>
      </c>
      <c r="G19" s="316" t="s">
        <v>1168</v>
      </c>
      <c r="H19" s="317">
        <f>-SUM(D17:D19)-SUM(F17:F19)</f>
        <v>-78425.399999999994</v>
      </c>
      <c r="I19" s="307"/>
      <c r="J19" s="212"/>
      <c r="K19" s="307"/>
      <c r="L19" s="307"/>
    </row>
    <row r="20" spans="1:12" ht="51.75" customHeight="1" x14ac:dyDescent="0.3">
      <c r="A20" s="318">
        <v>4</v>
      </c>
      <c r="B20" s="264" t="s">
        <v>1169</v>
      </c>
      <c r="C20" s="320">
        <v>26530.12</v>
      </c>
      <c r="D20" s="320">
        <v>3174.44</v>
      </c>
      <c r="E20" s="314">
        <f t="shared" si="0"/>
        <v>52988.61</v>
      </c>
      <c r="F20" s="315">
        <v>23284.05</v>
      </c>
      <c r="G20" s="319" t="s">
        <v>1170</v>
      </c>
      <c r="H20" s="317">
        <f>-SUM(D17:D20)-SUM(F17:F20)</f>
        <v>-104883.89</v>
      </c>
      <c r="I20" s="307"/>
      <c r="J20" s="212"/>
      <c r="K20" s="307"/>
      <c r="L20" s="307"/>
    </row>
    <row r="21" spans="1:12" ht="25.5" customHeight="1" x14ac:dyDescent="0.3">
      <c r="A21" s="313">
        <v>5</v>
      </c>
      <c r="B21" s="266" t="s">
        <v>1171</v>
      </c>
      <c r="C21" s="320">
        <v>11299.36</v>
      </c>
      <c r="D21" s="320">
        <v>4423.8900000000003</v>
      </c>
      <c r="E21" s="314">
        <f t="shared" si="0"/>
        <v>30705.68</v>
      </c>
      <c r="F21" s="315">
        <v>14982.43</v>
      </c>
      <c r="G21" s="316" t="s">
        <v>1172</v>
      </c>
      <c r="H21" s="317">
        <f>-SUM(D17:D21)-SUM(F17:F21)</f>
        <v>-124290.20999999999</v>
      </c>
      <c r="I21" s="307"/>
      <c r="J21" s="212"/>
      <c r="K21" s="307"/>
      <c r="L21" s="307"/>
    </row>
    <row r="22" spans="1:12" ht="51.75" customHeight="1" x14ac:dyDescent="0.3">
      <c r="A22" s="318">
        <v>6</v>
      </c>
      <c r="B22" s="264" t="s">
        <v>1173</v>
      </c>
      <c r="C22" s="320">
        <v>4000</v>
      </c>
      <c r="D22" s="320">
        <v>4496.05</v>
      </c>
      <c r="E22" s="314">
        <f t="shared" si="0"/>
        <v>21637.67</v>
      </c>
      <c r="F22" s="315">
        <v>13141.62</v>
      </c>
      <c r="G22" s="268" t="s">
        <v>1174</v>
      </c>
      <c r="H22" s="53">
        <f>-SUM(D17:D22)-SUM(F17:F22)</f>
        <v>-141927.88</v>
      </c>
      <c r="I22" s="307"/>
      <c r="J22" s="212"/>
      <c r="K22" s="307"/>
      <c r="L22" s="307"/>
    </row>
    <row r="23" spans="1:12" ht="36.75" customHeight="1" x14ac:dyDescent="0.3">
      <c r="A23" s="321" t="s">
        <v>1175</v>
      </c>
      <c r="B23" s="245" t="s">
        <v>1176</v>
      </c>
      <c r="C23" s="322">
        <f>SUM(C17:C22)</f>
        <v>130194.98999999999</v>
      </c>
      <c r="D23" s="322">
        <f>SUM(D17:D22)</f>
        <v>20557.64</v>
      </c>
      <c r="E23" s="322">
        <f>SUM(E17:E22)</f>
        <v>272122.87</v>
      </c>
      <c r="F23" s="322">
        <f>SUM(F17:F22)</f>
        <v>121370.23999999999</v>
      </c>
      <c r="G23" s="323" t="s">
        <v>1177</v>
      </c>
      <c r="H23" s="324">
        <f>H22</f>
        <v>-141927.88</v>
      </c>
      <c r="I23" s="307"/>
      <c r="J23" s="212"/>
      <c r="K23" s="307"/>
      <c r="L23" s="307"/>
    </row>
    <row r="24" spans="1:12" ht="21.75" customHeight="1" x14ac:dyDescent="0.3">
      <c r="A24" s="434" t="s">
        <v>1178</v>
      </c>
      <c r="B24" s="434"/>
      <c r="C24" s="434"/>
      <c r="D24" s="434"/>
      <c r="E24" s="434"/>
      <c r="F24" s="434"/>
      <c r="G24" s="434"/>
      <c r="H24" s="434"/>
      <c r="I24" s="307"/>
      <c r="J24" s="212"/>
      <c r="K24" s="307"/>
      <c r="L24" s="307"/>
    </row>
    <row r="25" spans="1:12" ht="15.75" customHeight="1" x14ac:dyDescent="0.3">
      <c r="A25" s="435"/>
      <c r="B25" s="435"/>
      <c r="C25" s="435"/>
      <c r="D25" s="435"/>
      <c r="E25" s="435"/>
      <c r="F25" s="435"/>
      <c r="G25" s="435"/>
      <c r="H25" s="435"/>
      <c r="I25" s="307"/>
      <c r="J25" s="212"/>
      <c r="K25" s="307"/>
      <c r="L25" s="307"/>
    </row>
    <row r="26" spans="1:12" ht="36" customHeight="1" x14ac:dyDescent="0.3">
      <c r="A26" s="325" t="s">
        <v>1179</v>
      </c>
      <c r="B26" s="97"/>
      <c r="C26" s="97"/>
      <c r="D26" s="97"/>
      <c r="E26" s="97"/>
      <c r="F26" s="97"/>
      <c r="G26" s="97"/>
      <c r="H26" s="310"/>
      <c r="I26" s="307"/>
      <c r="J26" s="212"/>
      <c r="K26" s="307"/>
      <c r="L26" s="307"/>
    </row>
    <row r="27" spans="1:12" ht="15.75" customHeight="1" x14ac:dyDescent="0.3">
      <c r="A27" s="326" t="s">
        <v>1180</v>
      </c>
      <c r="B27" s="97"/>
      <c r="C27" s="97"/>
      <c r="D27" s="97"/>
      <c r="E27" s="97"/>
      <c r="F27" s="97"/>
      <c r="G27" s="97"/>
      <c r="H27" s="310"/>
      <c r="I27" s="307"/>
      <c r="J27" s="212"/>
      <c r="K27" s="307"/>
      <c r="L27" s="307"/>
    </row>
    <row r="28" spans="1:12" ht="60.75" customHeight="1" x14ac:dyDescent="0.3">
      <c r="A28" s="327" t="s">
        <v>3</v>
      </c>
      <c r="B28" s="47" t="s">
        <v>1156</v>
      </c>
      <c r="C28" s="328" t="s">
        <v>1181</v>
      </c>
      <c r="D28" s="328" t="s">
        <v>1182</v>
      </c>
      <c r="E28" s="328" t="s">
        <v>1183</v>
      </c>
      <c r="F28" s="328" t="s">
        <v>1184</v>
      </c>
      <c r="G28" s="328" t="s">
        <v>245</v>
      </c>
      <c r="H28" s="329" t="s">
        <v>1185</v>
      </c>
      <c r="I28" s="307"/>
      <c r="J28" s="212"/>
      <c r="K28" s="307"/>
      <c r="L28" s="307"/>
    </row>
    <row r="29" spans="1:12" ht="15.75" customHeight="1" x14ac:dyDescent="0.3">
      <c r="A29" s="318">
        <v>8</v>
      </c>
      <c r="B29" s="33" t="s">
        <v>1186</v>
      </c>
      <c r="C29" s="217">
        <v>0</v>
      </c>
      <c r="D29" s="179">
        <f t="shared" ref="D29:D40" si="1">$B$6</f>
        <v>4496.0457703526999</v>
      </c>
      <c r="E29" s="179">
        <f t="shared" ref="E29:E40" si="2">$B$5-$B$6</f>
        <v>24959.124229647299</v>
      </c>
      <c r="F29" s="330">
        <f>SUM($E$29:E29)</f>
        <v>24959.124229647299</v>
      </c>
      <c r="G29" s="217">
        <v>0</v>
      </c>
      <c r="H29" s="331">
        <f>H23+E29</f>
        <v>-116968.7557703527</v>
      </c>
      <c r="I29" s="307"/>
      <c r="J29" s="212"/>
      <c r="K29" s="307"/>
      <c r="L29" s="307"/>
    </row>
    <row r="30" spans="1:12" ht="15.75" customHeight="1" x14ac:dyDescent="0.3">
      <c r="A30" s="313">
        <v>9</v>
      </c>
      <c r="B30" s="35" t="s">
        <v>1187</v>
      </c>
      <c r="C30" s="155">
        <v>0</v>
      </c>
      <c r="D30" s="179">
        <f t="shared" si="1"/>
        <v>4496.0457703526999</v>
      </c>
      <c r="E30" s="179">
        <f t="shared" si="2"/>
        <v>24959.124229647299</v>
      </c>
      <c r="F30" s="330">
        <f>SUM($E$29:E30)</f>
        <v>49918.248459294598</v>
      </c>
      <c r="G30" s="155">
        <v>0</v>
      </c>
      <c r="H30" s="331">
        <f t="shared" ref="H30:H76" si="3">H29+E30</f>
        <v>-92009.631540705392</v>
      </c>
      <c r="I30" s="307"/>
      <c r="J30" s="212"/>
      <c r="K30" s="307"/>
      <c r="L30" s="307"/>
    </row>
    <row r="31" spans="1:12" ht="15.75" customHeight="1" x14ac:dyDescent="0.3">
      <c r="A31" s="318">
        <v>10</v>
      </c>
      <c r="B31" s="33" t="s">
        <v>1188</v>
      </c>
      <c r="C31" s="217">
        <v>0</v>
      </c>
      <c r="D31" s="179">
        <f t="shared" si="1"/>
        <v>4496.0457703526999</v>
      </c>
      <c r="E31" s="179">
        <f t="shared" si="2"/>
        <v>24959.124229647299</v>
      </c>
      <c r="F31" s="330">
        <f>SUM($E$29:E31)</f>
        <v>74877.37268894189</v>
      </c>
      <c r="G31" s="217">
        <v>0</v>
      </c>
      <c r="H31" s="331">
        <f t="shared" si="3"/>
        <v>-67050.507311058085</v>
      </c>
      <c r="I31" s="307"/>
      <c r="J31" s="212"/>
      <c r="K31" s="307"/>
      <c r="L31" s="307"/>
    </row>
    <row r="32" spans="1:12" ht="15.75" customHeight="1" x14ac:dyDescent="0.3">
      <c r="A32" s="313">
        <v>11</v>
      </c>
      <c r="B32" s="35" t="s">
        <v>1189</v>
      </c>
      <c r="C32" s="155">
        <v>0</v>
      </c>
      <c r="D32" s="179">
        <f t="shared" si="1"/>
        <v>4496.0457703526999</v>
      </c>
      <c r="E32" s="179">
        <f t="shared" si="2"/>
        <v>24959.124229647299</v>
      </c>
      <c r="F32" s="330">
        <f>SUM($E$29:E32)</f>
        <v>99836.496918589197</v>
      </c>
      <c r="G32" s="155">
        <v>0</v>
      </c>
      <c r="H32" s="331">
        <f t="shared" si="3"/>
        <v>-42091.383081410786</v>
      </c>
      <c r="I32" s="307"/>
      <c r="J32" s="212"/>
      <c r="K32" s="307"/>
      <c r="L32" s="307"/>
    </row>
    <row r="33" spans="1:12" ht="15.75" customHeight="1" x14ac:dyDescent="0.3">
      <c r="A33" s="318">
        <v>12</v>
      </c>
      <c r="B33" s="33" t="s">
        <v>1190</v>
      </c>
      <c r="C33" s="217">
        <v>0</v>
      </c>
      <c r="D33" s="179">
        <f t="shared" si="1"/>
        <v>4496.0457703526999</v>
      </c>
      <c r="E33" s="179">
        <f t="shared" si="2"/>
        <v>24959.124229647299</v>
      </c>
      <c r="F33" s="330">
        <f>SUM($E$29:E33)</f>
        <v>124795.6211482365</v>
      </c>
      <c r="G33" s="217">
        <v>0</v>
      </c>
      <c r="H33" s="330">
        <f t="shared" si="3"/>
        <v>-17132.258851763487</v>
      </c>
      <c r="I33" s="307"/>
      <c r="J33" s="212"/>
      <c r="K33" s="307"/>
      <c r="L33" s="307"/>
    </row>
    <row r="34" spans="1:12" ht="15.75" customHeight="1" x14ac:dyDescent="0.3">
      <c r="A34" s="313">
        <v>13</v>
      </c>
      <c r="B34" s="35" t="s">
        <v>1191</v>
      </c>
      <c r="C34" s="155">
        <v>0</v>
      </c>
      <c r="D34" s="179">
        <f t="shared" si="1"/>
        <v>4496.0457703526999</v>
      </c>
      <c r="E34" s="179">
        <f t="shared" si="2"/>
        <v>24959.124229647299</v>
      </c>
      <c r="F34" s="330">
        <f>SUM($E$29:E34)</f>
        <v>149754.74537788381</v>
      </c>
      <c r="G34" s="155">
        <v>0</v>
      </c>
      <c r="H34" s="330">
        <f t="shared" si="3"/>
        <v>7826.8653778838125</v>
      </c>
      <c r="I34" s="307"/>
      <c r="J34" s="212"/>
      <c r="K34" s="307"/>
      <c r="L34" s="307"/>
    </row>
    <row r="35" spans="1:12" ht="15.75" customHeight="1" x14ac:dyDescent="0.3">
      <c r="A35" s="318">
        <v>14</v>
      </c>
      <c r="B35" s="33" t="s">
        <v>1192</v>
      </c>
      <c r="C35" s="217">
        <v>0</v>
      </c>
      <c r="D35" s="179">
        <f t="shared" si="1"/>
        <v>4496.0457703526999</v>
      </c>
      <c r="E35" s="179">
        <f t="shared" si="2"/>
        <v>24959.124229647299</v>
      </c>
      <c r="F35" s="330">
        <f>SUM($E$29:E35)</f>
        <v>174713.86960753112</v>
      </c>
      <c r="G35" s="217">
        <v>0</v>
      </c>
      <c r="H35" s="330">
        <f t="shared" si="3"/>
        <v>32785.989607531112</v>
      </c>
      <c r="I35" s="307"/>
      <c r="J35" s="212"/>
      <c r="K35" s="307"/>
      <c r="L35" s="307"/>
    </row>
    <row r="36" spans="1:12" ht="15.75" customHeight="1" x14ac:dyDescent="0.3">
      <c r="A36" s="313">
        <v>15</v>
      </c>
      <c r="B36" s="35" t="s">
        <v>1193</v>
      </c>
      <c r="C36" s="155">
        <v>0</v>
      </c>
      <c r="D36" s="179">
        <f t="shared" si="1"/>
        <v>4496.0457703526999</v>
      </c>
      <c r="E36" s="179">
        <f t="shared" si="2"/>
        <v>24959.124229647299</v>
      </c>
      <c r="F36" s="330">
        <f>SUM($E$29:E36)</f>
        <v>199672.99383717842</v>
      </c>
      <c r="G36" s="155">
        <v>0</v>
      </c>
      <c r="H36" s="330">
        <f t="shared" si="3"/>
        <v>57745.113837178411</v>
      </c>
      <c r="I36" s="307"/>
      <c r="J36" s="212"/>
      <c r="K36" s="307"/>
      <c r="L36" s="307"/>
    </row>
    <row r="37" spans="1:12" ht="15.75" customHeight="1" x14ac:dyDescent="0.3">
      <c r="A37" s="318">
        <v>16</v>
      </c>
      <c r="B37" s="33" t="s">
        <v>1194</v>
      </c>
      <c r="C37" s="217">
        <v>0</v>
      </c>
      <c r="D37" s="179">
        <f t="shared" si="1"/>
        <v>4496.0457703526999</v>
      </c>
      <c r="E37" s="179">
        <f t="shared" si="2"/>
        <v>24959.124229647299</v>
      </c>
      <c r="F37" s="330">
        <f>SUM($E$29:E37)</f>
        <v>224632.11806682573</v>
      </c>
      <c r="G37" s="217">
        <v>0</v>
      </c>
      <c r="H37" s="330">
        <f t="shared" si="3"/>
        <v>82704.23806682571</v>
      </c>
      <c r="I37" s="307"/>
      <c r="J37" s="212"/>
      <c r="K37" s="307"/>
      <c r="L37" s="307"/>
    </row>
    <row r="38" spans="1:12" ht="15.75" customHeight="1" x14ac:dyDescent="0.3">
      <c r="A38" s="313">
        <v>17</v>
      </c>
      <c r="B38" s="35" t="s">
        <v>1195</v>
      </c>
      <c r="C38" s="155">
        <v>0</v>
      </c>
      <c r="D38" s="179">
        <f t="shared" si="1"/>
        <v>4496.0457703526999</v>
      </c>
      <c r="E38" s="179">
        <f t="shared" si="2"/>
        <v>24959.124229647299</v>
      </c>
      <c r="F38" s="330">
        <f>SUM($E$29:E38)</f>
        <v>249591.24229647304</v>
      </c>
      <c r="G38" s="155">
        <v>0</v>
      </c>
      <c r="H38" s="330">
        <f t="shared" si="3"/>
        <v>107663.362296473</v>
      </c>
      <c r="I38" s="307"/>
      <c r="J38" s="212"/>
      <c r="K38" s="307"/>
      <c r="L38" s="307"/>
    </row>
    <row r="39" spans="1:12" ht="15.75" customHeight="1" x14ac:dyDescent="0.3">
      <c r="A39" s="318">
        <v>18</v>
      </c>
      <c r="B39" s="33" t="s">
        <v>1196</v>
      </c>
      <c r="C39" s="217">
        <v>0</v>
      </c>
      <c r="D39" s="179">
        <f t="shared" si="1"/>
        <v>4496.0457703526999</v>
      </c>
      <c r="E39" s="179">
        <f t="shared" si="2"/>
        <v>24959.124229647299</v>
      </c>
      <c r="F39" s="330">
        <f>SUM($E$29:E39)</f>
        <v>274550.36652612034</v>
      </c>
      <c r="G39" s="217">
        <v>0</v>
      </c>
      <c r="H39" s="330">
        <f t="shared" si="3"/>
        <v>132622.48652612031</v>
      </c>
      <c r="I39" s="307"/>
      <c r="J39" s="212"/>
      <c r="K39" s="307"/>
      <c r="L39" s="307"/>
    </row>
    <row r="40" spans="1:12" ht="15.75" customHeight="1" x14ac:dyDescent="0.3">
      <c r="A40" s="332">
        <v>19</v>
      </c>
      <c r="B40" s="91" t="s">
        <v>1197</v>
      </c>
      <c r="C40" s="240">
        <v>0</v>
      </c>
      <c r="D40" s="179">
        <f t="shared" si="1"/>
        <v>4496.0457703526999</v>
      </c>
      <c r="E40" s="214">
        <f t="shared" si="2"/>
        <v>24959.124229647299</v>
      </c>
      <c r="F40" s="180">
        <f>SUM($E$29:E40)</f>
        <v>299509.49075576762</v>
      </c>
      <c r="G40" s="240">
        <v>0</v>
      </c>
      <c r="H40" s="180">
        <f t="shared" si="3"/>
        <v>157581.61075576762</v>
      </c>
      <c r="I40" s="307"/>
      <c r="J40" s="212"/>
      <c r="K40" s="307"/>
      <c r="L40" s="307"/>
    </row>
    <row r="41" spans="1:12" ht="15.75" customHeight="1" x14ac:dyDescent="0.3">
      <c r="A41" s="318">
        <v>20</v>
      </c>
      <c r="B41" s="33" t="s">
        <v>1198</v>
      </c>
      <c r="C41" s="217">
        <v>0</v>
      </c>
      <c r="D41" s="179">
        <f t="shared" ref="D41:D52" si="4">$B$6*(1+$B$8)</f>
        <v>4720.8480588703351</v>
      </c>
      <c r="E41" s="179">
        <f t="shared" ref="E41:E52" si="5">$B$5-$B$6*(1+$B$8)</f>
        <v>24734.321941129663</v>
      </c>
      <c r="F41" s="330">
        <f>SUM($E$29:E41)</f>
        <v>324243.81269689731</v>
      </c>
      <c r="G41" s="217">
        <v>0</v>
      </c>
      <c r="H41" s="330">
        <f t="shared" si="3"/>
        <v>182315.93269689727</v>
      </c>
      <c r="I41" s="307"/>
      <c r="J41" s="212"/>
      <c r="K41" s="307"/>
      <c r="L41" s="307"/>
    </row>
    <row r="42" spans="1:12" ht="15.75" customHeight="1" x14ac:dyDescent="0.3">
      <c r="A42" s="313">
        <v>21</v>
      </c>
      <c r="B42" s="35" t="s">
        <v>1199</v>
      </c>
      <c r="C42" s="155">
        <v>0</v>
      </c>
      <c r="D42" s="179">
        <f t="shared" si="4"/>
        <v>4720.8480588703351</v>
      </c>
      <c r="E42" s="179">
        <f t="shared" si="5"/>
        <v>24734.321941129663</v>
      </c>
      <c r="F42" s="330">
        <f>SUM($E$29:E42)</f>
        <v>348978.134638027</v>
      </c>
      <c r="G42" s="155">
        <v>0</v>
      </c>
      <c r="H42" s="330">
        <f t="shared" si="3"/>
        <v>207050.25463802693</v>
      </c>
      <c r="I42" s="307"/>
      <c r="J42" s="212"/>
      <c r="K42" s="307"/>
      <c r="L42" s="307"/>
    </row>
    <row r="43" spans="1:12" ht="15.75" customHeight="1" x14ac:dyDescent="0.3">
      <c r="A43" s="318">
        <v>22</v>
      </c>
      <c r="B43" s="33" t="s">
        <v>1200</v>
      </c>
      <c r="C43" s="217">
        <v>0</v>
      </c>
      <c r="D43" s="179">
        <f t="shared" si="4"/>
        <v>4720.8480588703351</v>
      </c>
      <c r="E43" s="179">
        <f t="shared" si="5"/>
        <v>24734.321941129663</v>
      </c>
      <c r="F43" s="330">
        <f>SUM($E$29:E43)</f>
        <v>373712.45657915669</v>
      </c>
      <c r="G43" s="217">
        <v>0</v>
      </c>
      <c r="H43" s="330">
        <f t="shared" si="3"/>
        <v>231784.57657915659</v>
      </c>
      <c r="I43" s="307"/>
      <c r="J43" s="212"/>
      <c r="K43" s="307"/>
      <c r="L43" s="307"/>
    </row>
    <row r="44" spans="1:12" ht="15.75" customHeight="1" x14ac:dyDescent="0.3">
      <c r="A44" s="313">
        <v>23</v>
      </c>
      <c r="B44" s="35" t="s">
        <v>1201</v>
      </c>
      <c r="C44" s="155">
        <v>0</v>
      </c>
      <c r="D44" s="179">
        <f t="shared" si="4"/>
        <v>4720.8480588703351</v>
      </c>
      <c r="E44" s="179">
        <f t="shared" si="5"/>
        <v>24734.321941129663</v>
      </c>
      <c r="F44" s="330">
        <f>SUM($E$29:E44)</f>
        <v>398446.77852028637</v>
      </c>
      <c r="G44" s="155">
        <v>0</v>
      </c>
      <c r="H44" s="330">
        <f t="shared" si="3"/>
        <v>256518.89852028625</v>
      </c>
      <c r="I44" s="307"/>
      <c r="J44" s="212"/>
      <c r="K44" s="307"/>
      <c r="L44" s="307"/>
    </row>
    <row r="45" spans="1:12" ht="15.75" customHeight="1" x14ac:dyDescent="0.3">
      <c r="A45" s="318">
        <v>24</v>
      </c>
      <c r="B45" s="33" t="s">
        <v>1202</v>
      </c>
      <c r="C45" s="217">
        <v>0</v>
      </c>
      <c r="D45" s="179">
        <f t="shared" si="4"/>
        <v>4720.8480588703351</v>
      </c>
      <c r="E45" s="179">
        <f t="shared" si="5"/>
        <v>24734.321941129663</v>
      </c>
      <c r="F45" s="330">
        <f>SUM($E$29:E45)</f>
        <v>423181.10046141606</v>
      </c>
      <c r="G45" s="217">
        <v>0</v>
      </c>
      <c r="H45" s="330">
        <f t="shared" si="3"/>
        <v>281253.22046141594</v>
      </c>
      <c r="I45" s="307"/>
      <c r="J45" s="212"/>
      <c r="K45" s="307"/>
      <c r="L45" s="307"/>
    </row>
    <row r="46" spans="1:12" ht="15.75" customHeight="1" x14ac:dyDescent="0.3">
      <c r="A46" s="313">
        <v>25</v>
      </c>
      <c r="B46" s="35" t="s">
        <v>1203</v>
      </c>
      <c r="C46" s="155">
        <v>0</v>
      </c>
      <c r="D46" s="179">
        <f t="shared" si="4"/>
        <v>4720.8480588703351</v>
      </c>
      <c r="E46" s="179">
        <f t="shared" si="5"/>
        <v>24734.321941129663</v>
      </c>
      <c r="F46" s="330">
        <f>SUM($E$29:E46)</f>
        <v>447915.42240254575</v>
      </c>
      <c r="G46" s="155">
        <v>0</v>
      </c>
      <c r="H46" s="330">
        <f t="shared" si="3"/>
        <v>305987.54240254563</v>
      </c>
      <c r="I46" s="307"/>
      <c r="J46" s="212"/>
      <c r="K46" s="307"/>
      <c r="L46" s="307"/>
    </row>
    <row r="47" spans="1:12" ht="15.75" customHeight="1" x14ac:dyDescent="0.3">
      <c r="A47" s="318">
        <v>26</v>
      </c>
      <c r="B47" s="33" t="s">
        <v>1204</v>
      </c>
      <c r="C47" s="217">
        <v>0</v>
      </c>
      <c r="D47" s="179">
        <f t="shared" si="4"/>
        <v>4720.8480588703351</v>
      </c>
      <c r="E47" s="179">
        <f t="shared" si="5"/>
        <v>24734.321941129663</v>
      </c>
      <c r="F47" s="330">
        <f>SUM($E$29:E47)</f>
        <v>472649.74434367544</v>
      </c>
      <c r="G47" s="217">
        <v>0</v>
      </c>
      <c r="H47" s="330">
        <f t="shared" si="3"/>
        <v>330721.86434367532</v>
      </c>
      <c r="I47" s="307"/>
      <c r="J47" s="212"/>
      <c r="K47" s="307"/>
      <c r="L47" s="307"/>
    </row>
    <row r="48" spans="1:12" ht="15.75" customHeight="1" x14ac:dyDescent="0.3">
      <c r="A48" s="313">
        <v>27</v>
      </c>
      <c r="B48" s="35" t="s">
        <v>1205</v>
      </c>
      <c r="C48" s="155">
        <v>0</v>
      </c>
      <c r="D48" s="179">
        <f t="shared" si="4"/>
        <v>4720.8480588703351</v>
      </c>
      <c r="E48" s="179">
        <f t="shared" si="5"/>
        <v>24734.321941129663</v>
      </c>
      <c r="F48" s="330">
        <f>SUM($E$29:E48)</f>
        <v>497384.06628480513</v>
      </c>
      <c r="G48" s="155">
        <v>0</v>
      </c>
      <c r="H48" s="330">
        <f t="shared" si="3"/>
        <v>355456.18628480501</v>
      </c>
      <c r="I48" s="307"/>
      <c r="J48" s="212"/>
      <c r="K48" s="307"/>
      <c r="L48" s="307"/>
    </row>
    <row r="49" spans="1:12" ht="15.75" customHeight="1" x14ac:dyDescent="0.3">
      <c r="A49" s="318">
        <v>28</v>
      </c>
      <c r="B49" s="33" t="s">
        <v>1206</v>
      </c>
      <c r="C49" s="217">
        <v>0</v>
      </c>
      <c r="D49" s="179">
        <f t="shared" si="4"/>
        <v>4720.8480588703351</v>
      </c>
      <c r="E49" s="179">
        <f t="shared" si="5"/>
        <v>24734.321941129663</v>
      </c>
      <c r="F49" s="330">
        <f>SUM($E$29:E49)</f>
        <v>522118.38822593482</v>
      </c>
      <c r="G49" s="217">
        <v>0</v>
      </c>
      <c r="H49" s="330">
        <f t="shared" si="3"/>
        <v>380190.5082259347</v>
      </c>
      <c r="I49" s="307"/>
      <c r="J49" s="212"/>
      <c r="K49" s="307"/>
      <c r="L49" s="307"/>
    </row>
    <row r="50" spans="1:12" ht="15.75" customHeight="1" x14ac:dyDescent="0.3">
      <c r="A50" s="313">
        <v>29</v>
      </c>
      <c r="B50" s="35" t="s">
        <v>1207</v>
      </c>
      <c r="C50" s="155">
        <v>0</v>
      </c>
      <c r="D50" s="179">
        <f t="shared" si="4"/>
        <v>4720.8480588703351</v>
      </c>
      <c r="E50" s="179">
        <f t="shared" si="5"/>
        <v>24734.321941129663</v>
      </c>
      <c r="F50" s="330">
        <f>SUM($E$29:E50)</f>
        <v>546852.71016706445</v>
      </c>
      <c r="G50" s="155">
        <v>0</v>
      </c>
      <c r="H50" s="330">
        <f t="shared" si="3"/>
        <v>404924.83016706439</v>
      </c>
      <c r="I50" s="307"/>
      <c r="J50" s="212"/>
      <c r="K50" s="307"/>
      <c r="L50" s="307"/>
    </row>
    <row r="51" spans="1:12" ht="15.75" customHeight="1" x14ac:dyDescent="0.3">
      <c r="A51" s="318">
        <v>30</v>
      </c>
      <c r="B51" s="33" t="s">
        <v>1208</v>
      </c>
      <c r="C51" s="217">
        <v>0</v>
      </c>
      <c r="D51" s="179">
        <f t="shared" si="4"/>
        <v>4720.8480588703351</v>
      </c>
      <c r="E51" s="179">
        <f t="shared" si="5"/>
        <v>24734.321941129663</v>
      </c>
      <c r="F51" s="330">
        <f>SUM($E$29:E51)</f>
        <v>571587.03210819408</v>
      </c>
      <c r="G51" s="217">
        <v>0</v>
      </c>
      <c r="H51" s="330">
        <f t="shared" si="3"/>
        <v>429659.15210819407</v>
      </c>
      <c r="I51" s="307"/>
      <c r="J51" s="212"/>
      <c r="K51" s="307"/>
      <c r="L51" s="307"/>
    </row>
    <row r="52" spans="1:12" ht="15.75" customHeight="1" x14ac:dyDescent="0.3">
      <c r="A52" s="332">
        <v>31</v>
      </c>
      <c r="B52" s="91" t="s">
        <v>1209</v>
      </c>
      <c r="C52" s="240">
        <v>0</v>
      </c>
      <c r="D52" s="179">
        <f t="shared" si="4"/>
        <v>4720.8480588703351</v>
      </c>
      <c r="E52" s="214">
        <f t="shared" si="5"/>
        <v>24734.321941129663</v>
      </c>
      <c r="F52" s="180">
        <f>SUM($E$29:E52)</f>
        <v>596321.35404932371</v>
      </c>
      <c r="G52" s="240">
        <v>0</v>
      </c>
      <c r="H52" s="180">
        <f t="shared" si="3"/>
        <v>454393.47404932376</v>
      </c>
      <c r="I52" s="198"/>
      <c r="J52" s="198"/>
      <c r="K52" s="198"/>
      <c r="L52" s="198"/>
    </row>
    <row r="53" spans="1:12" ht="15.75" customHeight="1" x14ac:dyDescent="0.3">
      <c r="A53" s="318">
        <v>32</v>
      </c>
      <c r="B53" s="333" t="s">
        <v>1210</v>
      </c>
      <c r="C53" s="217">
        <v>0</v>
      </c>
      <c r="D53" s="179">
        <f t="shared" ref="D53:D64" si="6">$B$6*(1+$B$8)^2</f>
        <v>4956.8904618138522</v>
      </c>
      <c r="E53" s="179">
        <f t="shared" ref="E53:E64" si="7">$B$5-$B$6*(1+$B$8)^2</f>
        <v>24498.279538186147</v>
      </c>
      <c r="F53" s="330">
        <f>SUM($E$29:E53)</f>
        <v>620819.63358750986</v>
      </c>
      <c r="G53" s="217">
        <v>0</v>
      </c>
      <c r="H53" s="330">
        <f t="shared" si="3"/>
        <v>478891.75358750991</v>
      </c>
      <c r="I53" s="198"/>
      <c r="J53" s="198"/>
      <c r="K53" s="198"/>
      <c r="L53" s="198"/>
    </row>
    <row r="54" spans="1:12" ht="15.75" customHeight="1" x14ac:dyDescent="0.3">
      <c r="A54" s="313">
        <v>33</v>
      </c>
      <c r="B54" s="334" t="s">
        <v>1211</v>
      </c>
      <c r="C54" s="155">
        <v>0</v>
      </c>
      <c r="D54" s="179">
        <f t="shared" si="6"/>
        <v>4956.8904618138522</v>
      </c>
      <c r="E54" s="179">
        <f t="shared" si="7"/>
        <v>24498.279538186147</v>
      </c>
      <c r="F54" s="330">
        <f>SUM($E$29:E54)</f>
        <v>645317.91312569601</v>
      </c>
      <c r="G54" s="155">
        <v>0</v>
      </c>
      <c r="H54" s="330">
        <f t="shared" si="3"/>
        <v>503390.03312569606</v>
      </c>
      <c r="I54" s="212"/>
      <c r="J54" s="212"/>
      <c r="K54" s="212"/>
      <c r="L54" s="212"/>
    </row>
    <row r="55" spans="1:12" ht="15.75" customHeight="1" x14ac:dyDescent="0.3">
      <c r="A55" s="318">
        <v>34</v>
      </c>
      <c r="B55" s="333" t="s">
        <v>1212</v>
      </c>
      <c r="C55" s="217">
        <v>0</v>
      </c>
      <c r="D55" s="179">
        <f t="shared" si="6"/>
        <v>4956.8904618138522</v>
      </c>
      <c r="E55" s="179">
        <f t="shared" si="7"/>
        <v>24498.279538186147</v>
      </c>
      <c r="F55" s="330">
        <f>SUM($E$29:E55)</f>
        <v>669816.19266388216</v>
      </c>
      <c r="G55" s="217">
        <v>0</v>
      </c>
      <c r="H55" s="330">
        <f t="shared" si="3"/>
        <v>527888.31266388216</v>
      </c>
      <c r="I55" s="212"/>
      <c r="J55" s="335"/>
      <c r="K55" s="212"/>
      <c r="L55" s="308"/>
    </row>
    <row r="56" spans="1:12" ht="15.75" customHeight="1" x14ac:dyDescent="0.3">
      <c r="A56" s="313">
        <v>35</v>
      </c>
      <c r="B56" s="334" t="s">
        <v>1213</v>
      </c>
      <c r="C56" s="155">
        <v>0</v>
      </c>
      <c r="D56" s="179">
        <f t="shared" si="6"/>
        <v>4956.8904618138522</v>
      </c>
      <c r="E56" s="179">
        <f t="shared" si="7"/>
        <v>24498.279538186147</v>
      </c>
      <c r="F56" s="330">
        <f>SUM($E$29:E56)</f>
        <v>694314.47220206831</v>
      </c>
      <c r="G56" s="155">
        <v>0</v>
      </c>
      <c r="H56" s="330">
        <f t="shared" si="3"/>
        <v>552386.59220206831</v>
      </c>
      <c r="I56" s="212"/>
      <c r="J56" s="335"/>
      <c r="K56" s="212"/>
      <c r="L56" s="308"/>
    </row>
    <row r="57" spans="1:12" ht="15.75" customHeight="1" x14ac:dyDescent="0.3">
      <c r="A57" s="318">
        <v>36</v>
      </c>
      <c r="B57" s="333" t="s">
        <v>1214</v>
      </c>
      <c r="C57" s="217">
        <v>0</v>
      </c>
      <c r="D57" s="179">
        <f t="shared" si="6"/>
        <v>4956.8904618138522</v>
      </c>
      <c r="E57" s="179">
        <f t="shared" si="7"/>
        <v>24498.279538186147</v>
      </c>
      <c r="F57" s="330">
        <f>SUM($E$29:E57)</f>
        <v>718812.75174025446</v>
      </c>
      <c r="G57" s="217">
        <v>0</v>
      </c>
      <c r="H57" s="330">
        <f t="shared" si="3"/>
        <v>576884.87174025446</v>
      </c>
      <c r="I57" s="212"/>
      <c r="J57" s="335"/>
      <c r="K57" s="212"/>
      <c r="L57" s="308"/>
    </row>
    <row r="58" spans="1:12" ht="15.75" customHeight="1" x14ac:dyDescent="0.3">
      <c r="A58" s="313">
        <v>37</v>
      </c>
      <c r="B58" s="334" t="s">
        <v>1215</v>
      </c>
      <c r="C58" s="155">
        <v>0</v>
      </c>
      <c r="D58" s="179">
        <f t="shared" si="6"/>
        <v>4956.8904618138522</v>
      </c>
      <c r="E58" s="179">
        <f t="shared" si="7"/>
        <v>24498.279538186147</v>
      </c>
      <c r="F58" s="330">
        <f>SUM($E$29:E58)</f>
        <v>743311.03127844061</v>
      </c>
      <c r="G58" s="155">
        <v>0</v>
      </c>
      <c r="H58" s="330">
        <f t="shared" si="3"/>
        <v>601383.15127844061</v>
      </c>
      <c r="I58" s="212"/>
      <c r="J58" s="335"/>
      <c r="K58" s="212"/>
      <c r="L58" s="308"/>
    </row>
    <row r="59" spans="1:12" ht="15.75" customHeight="1" x14ac:dyDescent="0.3">
      <c r="A59" s="318">
        <v>38</v>
      </c>
      <c r="B59" s="33" t="s">
        <v>1216</v>
      </c>
      <c r="C59" s="217">
        <v>0</v>
      </c>
      <c r="D59" s="179">
        <f t="shared" si="6"/>
        <v>4956.8904618138522</v>
      </c>
      <c r="E59" s="179">
        <f t="shared" si="7"/>
        <v>24498.279538186147</v>
      </c>
      <c r="F59" s="330">
        <f>SUM($E$29:E59)</f>
        <v>767809.31081662676</v>
      </c>
      <c r="G59" s="217">
        <v>0</v>
      </c>
      <c r="H59" s="330">
        <f t="shared" si="3"/>
        <v>625881.43081662676</v>
      </c>
    </row>
    <row r="60" spans="1:12" ht="15.75" customHeight="1" x14ac:dyDescent="0.3">
      <c r="A60" s="313">
        <v>39</v>
      </c>
      <c r="B60" s="35" t="s">
        <v>1217</v>
      </c>
      <c r="C60" s="155">
        <v>0</v>
      </c>
      <c r="D60" s="179">
        <f t="shared" si="6"/>
        <v>4956.8904618138522</v>
      </c>
      <c r="E60" s="179">
        <f t="shared" si="7"/>
        <v>24498.279538186147</v>
      </c>
      <c r="F60" s="330">
        <f>SUM($E$29:E60)</f>
        <v>792307.59035481291</v>
      </c>
      <c r="G60" s="155">
        <v>0</v>
      </c>
      <c r="H60" s="330">
        <f t="shared" si="3"/>
        <v>650379.71035481291</v>
      </c>
    </row>
    <row r="61" spans="1:12" ht="15.75" customHeight="1" x14ac:dyDescent="0.3">
      <c r="A61" s="318">
        <v>40</v>
      </c>
      <c r="B61" s="33" t="s">
        <v>1218</v>
      </c>
      <c r="C61" s="217">
        <v>0</v>
      </c>
      <c r="D61" s="179">
        <f t="shared" si="6"/>
        <v>4956.8904618138522</v>
      </c>
      <c r="E61" s="179">
        <f t="shared" si="7"/>
        <v>24498.279538186147</v>
      </c>
      <c r="F61" s="330">
        <f>SUM($E$29:E61)</f>
        <v>816805.86989299906</v>
      </c>
      <c r="G61" s="217">
        <v>0</v>
      </c>
      <c r="H61" s="330">
        <f t="shared" si="3"/>
        <v>674877.98989299906</v>
      </c>
    </row>
    <row r="62" spans="1:12" ht="15.75" customHeight="1" x14ac:dyDescent="0.3">
      <c r="A62" s="313">
        <v>41</v>
      </c>
      <c r="B62" s="35" t="s">
        <v>1219</v>
      </c>
      <c r="C62" s="155">
        <v>0</v>
      </c>
      <c r="D62" s="179">
        <f t="shared" si="6"/>
        <v>4956.8904618138522</v>
      </c>
      <c r="E62" s="179">
        <f t="shared" si="7"/>
        <v>24498.279538186147</v>
      </c>
      <c r="F62" s="330">
        <f>SUM($E$29:E62)</f>
        <v>841304.14943118521</v>
      </c>
      <c r="G62" s="155">
        <v>0</v>
      </c>
      <c r="H62" s="330">
        <f t="shared" si="3"/>
        <v>699376.26943118521</v>
      </c>
    </row>
    <row r="63" spans="1:12" ht="15.75" customHeight="1" x14ac:dyDescent="0.3">
      <c r="A63" s="318">
        <v>42</v>
      </c>
      <c r="B63" s="33" t="s">
        <v>1220</v>
      </c>
      <c r="C63" s="217">
        <v>0</v>
      </c>
      <c r="D63" s="179">
        <f t="shared" si="6"/>
        <v>4956.8904618138522</v>
      </c>
      <c r="E63" s="179">
        <f t="shared" si="7"/>
        <v>24498.279538186147</v>
      </c>
      <c r="F63" s="330">
        <f>SUM($E$29:E63)</f>
        <v>865802.42896937137</v>
      </c>
      <c r="G63" s="217">
        <v>0</v>
      </c>
      <c r="H63" s="330">
        <f t="shared" si="3"/>
        <v>723874.54896937136</v>
      </c>
    </row>
    <row r="64" spans="1:12" ht="15.75" customHeight="1" x14ac:dyDescent="0.3">
      <c r="A64" s="332">
        <v>43</v>
      </c>
      <c r="B64" s="91" t="s">
        <v>1221</v>
      </c>
      <c r="C64" s="240">
        <v>0</v>
      </c>
      <c r="D64" s="179">
        <f t="shared" si="6"/>
        <v>4956.8904618138522</v>
      </c>
      <c r="E64" s="214">
        <f t="shared" si="7"/>
        <v>24498.279538186147</v>
      </c>
      <c r="F64" s="180">
        <f>SUM($E$29:E64)</f>
        <v>890300.70850755752</v>
      </c>
      <c r="G64" s="240">
        <v>0</v>
      </c>
      <c r="H64" s="180">
        <f t="shared" si="3"/>
        <v>748372.82850755751</v>
      </c>
    </row>
    <row r="65" spans="1:9" ht="15.75" customHeight="1" x14ac:dyDescent="0.3">
      <c r="A65" s="318">
        <v>44</v>
      </c>
      <c r="B65" s="33" t="s">
        <v>1222</v>
      </c>
      <c r="C65" s="217">
        <v>0</v>
      </c>
      <c r="D65" s="179">
        <f t="shared" ref="D65:D76" si="8">$B$6*(1+$B$8)^3</f>
        <v>5204.7349849045449</v>
      </c>
      <c r="E65" s="179">
        <f t="shared" ref="E65:E76" si="9">$B$5-$B$6*(1+$B$8)^3</f>
        <v>24250.435015095452</v>
      </c>
      <c r="F65" s="330">
        <f>SUM($E$29:E65)</f>
        <v>914551.14352265291</v>
      </c>
      <c r="G65" s="217">
        <v>0</v>
      </c>
      <c r="H65" s="330">
        <f t="shared" si="3"/>
        <v>772623.26352265291</v>
      </c>
    </row>
    <row r="66" spans="1:9" ht="15.75" customHeight="1" x14ac:dyDescent="0.3">
      <c r="A66" s="313">
        <v>45</v>
      </c>
      <c r="B66" s="35" t="s">
        <v>1223</v>
      </c>
      <c r="C66" s="155">
        <v>0</v>
      </c>
      <c r="D66" s="179">
        <f t="shared" si="8"/>
        <v>5204.7349849045449</v>
      </c>
      <c r="E66" s="179">
        <f t="shared" si="9"/>
        <v>24250.435015095452</v>
      </c>
      <c r="F66" s="330">
        <f>SUM($E$29:E66)</f>
        <v>938801.57853774831</v>
      </c>
      <c r="G66" s="155">
        <v>0</v>
      </c>
      <c r="H66" s="330">
        <f t="shared" si="3"/>
        <v>796873.69853774831</v>
      </c>
    </row>
    <row r="67" spans="1:9" ht="15.75" customHeight="1" x14ac:dyDescent="0.3">
      <c r="A67" s="318">
        <v>46</v>
      </c>
      <c r="B67" s="33" t="s">
        <v>1224</v>
      </c>
      <c r="C67" s="217">
        <v>0</v>
      </c>
      <c r="D67" s="179">
        <f t="shared" si="8"/>
        <v>5204.7349849045449</v>
      </c>
      <c r="E67" s="179">
        <f t="shared" si="9"/>
        <v>24250.435015095452</v>
      </c>
      <c r="F67" s="330">
        <f>SUM($E$29:E67)</f>
        <v>963052.01355284371</v>
      </c>
      <c r="G67" s="217">
        <v>0</v>
      </c>
      <c r="H67" s="330">
        <f t="shared" si="3"/>
        <v>821124.1335528437</v>
      </c>
    </row>
    <row r="68" spans="1:9" ht="15.75" customHeight="1" x14ac:dyDescent="0.3">
      <c r="A68" s="313">
        <v>47</v>
      </c>
      <c r="B68" s="35" t="s">
        <v>1225</v>
      </c>
      <c r="C68" s="155">
        <v>0</v>
      </c>
      <c r="D68" s="179">
        <f t="shared" si="8"/>
        <v>5204.7349849045449</v>
      </c>
      <c r="E68" s="179">
        <f t="shared" si="9"/>
        <v>24250.435015095452</v>
      </c>
      <c r="F68" s="330">
        <f>SUM($E$29:E68)</f>
        <v>987302.44856793911</v>
      </c>
      <c r="G68" s="155">
        <v>0</v>
      </c>
      <c r="H68" s="330">
        <f t="shared" si="3"/>
        <v>845374.5685679391</v>
      </c>
    </row>
    <row r="69" spans="1:9" ht="15.75" customHeight="1" x14ac:dyDescent="0.3">
      <c r="A69" s="318">
        <v>48</v>
      </c>
      <c r="B69" s="33" t="s">
        <v>1226</v>
      </c>
      <c r="C69" s="217">
        <v>0</v>
      </c>
      <c r="D69" s="179">
        <f t="shared" si="8"/>
        <v>5204.7349849045449</v>
      </c>
      <c r="E69" s="179">
        <f t="shared" si="9"/>
        <v>24250.435015095452</v>
      </c>
      <c r="F69" s="330">
        <f>SUM($E$29:E69)</f>
        <v>1011552.8835830345</v>
      </c>
      <c r="G69" s="217">
        <v>0</v>
      </c>
      <c r="H69" s="330">
        <f t="shared" si="3"/>
        <v>869625.0035830345</v>
      </c>
    </row>
    <row r="70" spans="1:9" ht="15.75" customHeight="1" x14ac:dyDescent="0.3">
      <c r="A70" s="313">
        <v>49</v>
      </c>
      <c r="B70" s="35" t="s">
        <v>1227</v>
      </c>
      <c r="C70" s="155">
        <v>0</v>
      </c>
      <c r="D70" s="179">
        <f t="shared" si="8"/>
        <v>5204.7349849045449</v>
      </c>
      <c r="E70" s="179">
        <f t="shared" si="9"/>
        <v>24250.435015095452</v>
      </c>
      <c r="F70" s="330">
        <f>SUM($E$29:E70)</f>
        <v>1035803.3185981299</v>
      </c>
      <c r="G70" s="155">
        <v>0</v>
      </c>
      <c r="H70" s="330">
        <f t="shared" si="3"/>
        <v>893875.4385981299</v>
      </c>
    </row>
    <row r="71" spans="1:9" ht="15.75" customHeight="1" x14ac:dyDescent="0.3">
      <c r="A71" s="318">
        <v>50</v>
      </c>
      <c r="B71" s="33" t="s">
        <v>1228</v>
      </c>
      <c r="C71" s="217">
        <v>0</v>
      </c>
      <c r="D71" s="179">
        <f t="shared" si="8"/>
        <v>5204.7349849045449</v>
      </c>
      <c r="E71" s="179">
        <f t="shared" si="9"/>
        <v>24250.435015095452</v>
      </c>
      <c r="F71" s="330">
        <f>SUM($E$29:E71)</f>
        <v>1060053.7536132254</v>
      </c>
      <c r="G71" s="217">
        <v>0</v>
      </c>
      <c r="H71" s="330">
        <f t="shared" si="3"/>
        <v>918125.8736132253</v>
      </c>
    </row>
    <row r="72" spans="1:9" ht="15.75" customHeight="1" x14ac:dyDescent="0.3">
      <c r="A72" s="313">
        <v>51</v>
      </c>
      <c r="B72" s="35" t="s">
        <v>1229</v>
      </c>
      <c r="C72" s="155">
        <v>0</v>
      </c>
      <c r="D72" s="179">
        <f t="shared" si="8"/>
        <v>5204.7349849045449</v>
      </c>
      <c r="E72" s="179">
        <f t="shared" si="9"/>
        <v>24250.435015095452</v>
      </c>
      <c r="F72" s="330">
        <f>SUM($E$29:E72)</f>
        <v>1084304.1886283208</v>
      </c>
      <c r="G72" s="155">
        <v>0</v>
      </c>
      <c r="H72" s="330">
        <f t="shared" si="3"/>
        <v>942376.30862832069</v>
      </c>
    </row>
    <row r="73" spans="1:9" ht="15.75" customHeight="1" x14ac:dyDescent="0.3">
      <c r="A73" s="318">
        <v>52</v>
      </c>
      <c r="B73" s="33" t="s">
        <v>1230</v>
      </c>
      <c r="C73" s="217">
        <v>0</v>
      </c>
      <c r="D73" s="179">
        <f t="shared" si="8"/>
        <v>5204.7349849045449</v>
      </c>
      <c r="E73" s="179">
        <f t="shared" si="9"/>
        <v>24250.435015095452</v>
      </c>
      <c r="F73" s="330">
        <f>SUM($E$29:E73)</f>
        <v>1108554.6236434162</v>
      </c>
      <c r="G73" s="217">
        <v>0</v>
      </c>
      <c r="H73" s="330">
        <f t="shared" si="3"/>
        <v>966626.74364341609</v>
      </c>
    </row>
    <row r="74" spans="1:9" ht="15.75" customHeight="1" x14ac:dyDescent="0.3">
      <c r="A74" s="313">
        <v>53</v>
      </c>
      <c r="B74" s="35" t="s">
        <v>1231</v>
      </c>
      <c r="C74" s="155">
        <v>0</v>
      </c>
      <c r="D74" s="179">
        <f t="shared" si="8"/>
        <v>5204.7349849045449</v>
      </c>
      <c r="E74" s="179">
        <f t="shared" si="9"/>
        <v>24250.435015095452</v>
      </c>
      <c r="F74" s="330">
        <f>SUM($E$29:E74)</f>
        <v>1132805.0586585116</v>
      </c>
      <c r="G74" s="155">
        <v>0</v>
      </c>
      <c r="H74" s="330">
        <f t="shared" si="3"/>
        <v>990877.17865851149</v>
      </c>
    </row>
    <row r="75" spans="1:9" ht="27" customHeight="1" x14ac:dyDescent="0.3">
      <c r="A75" s="318">
        <v>54</v>
      </c>
      <c r="B75" s="33" t="s">
        <v>1232</v>
      </c>
      <c r="C75" s="217">
        <v>0</v>
      </c>
      <c r="D75" s="179">
        <f t="shared" si="8"/>
        <v>5204.7349849045449</v>
      </c>
      <c r="E75" s="179">
        <f t="shared" si="9"/>
        <v>24250.435015095452</v>
      </c>
      <c r="F75" s="330">
        <f>SUM($E$29:E75)</f>
        <v>1157055.493673607</v>
      </c>
      <c r="G75" s="217">
        <v>0</v>
      </c>
      <c r="H75" s="330">
        <f t="shared" si="3"/>
        <v>1015127.6136736069</v>
      </c>
    </row>
    <row r="76" spans="1:9" ht="15.75" customHeight="1" x14ac:dyDescent="0.3">
      <c r="A76" s="336">
        <v>55</v>
      </c>
      <c r="B76" s="91" t="s">
        <v>1233</v>
      </c>
      <c r="C76" s="240">
        <v>0</v>
      </c>
      <c r="D76" s="214">
        <f t="shared" si="8"/>
        <v>5204.7349849045449</v>
      </c>
      <c r="E76" s="180">
        <f t="shared" si="9"/>
        <v>24250.435015095452</v>
      </c>
      <c r="F76" s="180">
        <f>SUM($E$29:E76)</f>
        <v>1181305.9286887024</v>
      </c>
      <c r="G76" s="240">
        <v>0</v>
      </c>
      <c r="H76" s="180">
        <f t="shared" si="3"/>
        <v>1039378.0486887023</v>
      </c>
    </row>
    <row r="77" spans="1:9" ht="27.75" customHeight="1" x14ac:dyDescent="0.3"/>
    <row r="78" spans="1:9" ht="19.5" customHeight="1" x14ac:dyDescent="0.3">
      <c r="A78" s="15" t="s">
        <v>1234</v>
      </c>
      <c r="B78" s="97"/>
      <c r="C78" s="97"/>
      <c r="D78" s="97"/>
      <c r="E78" s="97"/>
      <c r="F78" s="97"/>
      <c r="G78" s="97"/>
      <c r="H78" s="97"/>
    </row>
    <row r="79" spans="1:9" ht="21.75" customHeight="1" x14ac:dyDescent="0.3">
      <c r="A79" s="16" t="s">
        <v>236</v>
      </c>
      <c r="B79" s="16" t="s">
        <v>1235</v>
      </c>
      <c r="C79" s="16" t="s">
        <v>1236</v>
      </c>
      <c r="D79" s="16" t="s">
        <v>1182</v>
      </c>
      <c r="E79" s="16" t="s">
        <v>1237</v>
      </c>
      <c r="F79" s="16" t="s">
        <v>1238</v>
      </c>
      <c r="G79" s="16" t="s">
        <v>1239</v>
      </c>
      <c r="H79" s="16" t="s">
        <v>1240</v>
      </c>
      <c r="I79" s="16" t="s">
        <v>1241</v>
      </c>
    </row>
    <row r="80" spans="1:9" ht="21.75" customHeight="1" x14ac:dyDescent="0.3">
      <c r="A80" s="23" t="s">
        <v>932</v>
      </c>
      <c r="B80" s="23" t="s">
        <v>1242</v>
      </c>
      <c r="C80" s="337">
        <f>SUM(C17:C22)</f>
        <v>130194.98999999999</v>
      </c>
      <c r="D80" s="337">
        <f>SUM(D17:D22)</f>
        <v>20557.64</v>
      </c>
      <c r="E80" s="45" t="s">
        <v>1243</v>
      </c>
      <c r="F80" s="337">
        <f>SUM(F17:F22)</f>
        <v>121370.23999999999</v>
      </c>
      <c r="G80" s="338">
        <f>H23</f>
        <v>-141927.88</v>
      </c>
      <c r="H80" s="338">
        <f>H23</f>
        <v>-141927.88</v>
      </c>
      <c r="I80" s="339" t="s">
        <v>1244</v>
      </c>
    </row>
    <row r="81" spans="1:9" ht="21.75" customHeight="1" x14ac:dyDescent="0.3">
      <c r="A81" s="176" t="s">
        <v>1245</v>
      </c>
      <c r="B81" s="176" t="s">
        <v>1246</v>
      </c>
      <c r="C81" s="334">
        <f>SUM(C29:C40)</f>
        <v>0</v>
      </c>
      <c r="D81" s="334">
        <f>SUM(D29:D40)</f>
        <v>53952.549244232396</v>
      </c>
      <c r="E81" s="340">
        <f>$B$5*12-SUM(D29:D40)</f>
        <v>299509.49075576756</v>
      </c>
      <c r="F81" s="333">
        <v>0</v>
      </c>
      <c r="G81" s="340">
        <f>$B$5*12-SUM(D29:D40)</f>
        <v>299509.49075576756</v>
      </c>
      <c r="H81" s="340">
        <f>H80+G81</f>
        <v>157581.61075576756</v>
      </c>
      <c r="I81" s="341" t="s">
        <v>1247</v>
      </c>
    </row>
    <row r="82" spans="1:9" ht="21.75" customHeight="1" x14ac:dyDescent="0.3">
      <c r="A82" s="181" t="s">
        <v>1248</v>
      </c>
      <c r="B82" s="181" t="s">
        <v>1249</v>
      </c>
      <c r="C82" s="333">
        <f>SUM(C41:C52)</f>
        <v>0</v>
      </c>
      <c r="D82" s="333">
        <f>SUM(D41:D52)</f>
        <v>56650.176706444036</v>
      </c>
      <c r="E82" s="340">
        <f>$B$5*12-SUM(D41:D52)</f>
        <v>296811.86329355591</v>
      </c>
      <c r="F82" s="334">
        <v>0</v>
      </c>
      <c r="G82" s="340">
        <f>$B$5*12-SUM(D41:D52)</f>
        <v>296811.86329355591</v>
      </c>
      <c r="H82" s="340">
        <f>H81+G82</f>
        <v>454393.47404932347</v>
      </c>
      <c r="I82" s="339" t="s">
        <v>1250</v>
      </c>
    </row>
    <row r="83" spans="1:9" ht="30" customHeight="1" x14ac:dyDescent="0.3">
      <c r="A83" s="176" t="s">
        <v>1251</v>
      </c>
      <c r="B83" s="176" t="s">
        <v>1252</v>
      </c>
      <c r="C83" s="334">
        <f>SUM(C53:C64)</f>
        <v>0</v>
      </c>
      <c r="D83" s="334">
        <f>SUM(D53:D64)</f>
        <v>59482.685541766237</v>
      </c>
      <c r="E83" s="340">
        <f>$B$5*12-SUM(D53:D64)</f>
        <v>293979.35445823375</v>
      </c>
      <c r="F83" s="333">
        <v>0</v>
      </c>
      <c r="G83" s="340">
        <f>$B$5*12-SUM(D53:D64)</f>
        <v>293979.35445823375</v>
      </c>
      <c r="H83" s="340">
        <f>H82+G83</f>
        <v>748372.82850755728</v>
      </c>
      <c r="I83" s="341" t="s">
        <v>1253</v>
      </c>
    </row>
    <row r="84" spans="1:9" ht="15" customHeight="1" x14ac:dyDescent="0.3">
      <c r="A84" s="181" t="s">
        <v>1254</v>
      </c>
      <c r="B84" s="181" t="s">
        <v>1255</v>
      </c>
      <c r="C84" s="333">
        <f>SUM(C65:C76)</f>
        <v>0</v>
      </c>
      <c r="D84" s="333">
        <f>SUM(D65:D76)</f>
        <v>62456.819818854528</v>
      </c>
      <c r="E84" s="340">
        <f>$B$5*12-SUM(D65:D76)</f>
        <v>291005.22018114547</v>
      </c>
      <c r="F84" s="334">
        <v>0</v>
      </c>
      <c r="G84" s="340">
        <f>$B$5*12-SUM(D65:D76)</f>
        <v>291005.22018114547</v>
      </c>
      <c r="H84" s="340">
        <f>H83+G84</f>
        <v>1039378.0486887028</v>
      </c>
      <c r="I84" s="342" t="s">
        <v>1256</v>
      </c>
    </row>
    <row r="85" spans="1:9" ht="21.75" customHeight="1" x14ac:dyDescent="0.3">
      <c r="A85" s="16" t="s">
        <v>452</v>
      </c>
      <c r="B85" s="54" t="s">
        <v>1257</v>
      </c>
      <c r="C85" s="343">
        <f>SUM(C80:C84)</f>
        <v>130194.98999999999</v>
      </c>
      <c r="D85" s="343">
        <f>SUM(D80:D84)</f>
        <v>253099.8713112972</v>
      </c>
      <c r="E85" s="343">
        <f>SUM(E80:E84)</f>
        <v>1181305.9286887026</v>
      </c>
      <c r="F85" s="343">
        <f>SUM(F80:F84)</f>
        <v>121370.23999999999</v>
      </c>
      <c r="G85" s="136">
        <f>H23+SUM(G81:G84)</f>
        <v>1039378.0486887026</v>
      </c>
      <c r="H85" s="344">
        <f>H84</f>
        <v>1039378.0486887028</v>
      </c>
      <c r="I85" s="345" t="s">
        <v>1258</v>
      </c>
    </row>
  </sheetData>
  <mergeCells count="14">
    <mergeCell ref="C12:H12"/>
    <mergeCell ref="A13:H13"/>
    <mergeCell ref="A24:H24"/>
    <mergeCell ref="A25:H25"/>
    <mergeCell ref="C7:H7"/>
    <mergeCell ref="C8:H8"/>
    <mergeCell ref="C9:H9"/>
    <mergeCell ref="C10:H10"/>
    <mergeCell ref="C11:H11"/>
    <mergeCell ref="A1:H1"/>
    <mergeCell ref="A2:H2"/>
    <mergeCell ref="A4:H4"/>
    <mergeCell ref="C5:H5"/>
    <mergeCell ref="C6:H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40"/>
  <sheetViews>
    <sheetView showGridLines="0" zoomScale="80" zoomScaleNormal="80" workbookViewId="0"/>
  </sheetViews>
  <sheetFormatPr defaultColWidth="8.6640625" defaultRowHeight="14.4" x14ac:dyDescent="0.3"/>
  <cols>
    <col min="1" max="1" width="30" customWidth="1"/>
    <col min="2" max="2" width="20" customWidth="1"/>
    <col min="3" max="3" width="8" customWidth="1"/>
    <col min="4" max="4" width="13" customWidth="1"/>
    <col min="5" max="6" width="12" customWidth="1"/>
    <col min="7" max="7" width="40" customWidth="1"/>
    <col min="8" max="21" width="9.44140625" customWidth="1"/>
  </cols>
  <sheetData>
    <row r="1" spans="1:21" ht="27.75" customHeight="1" x14ac:dyDescent="0.3">
      <c r="A1" s="402" t="s">
        <v>1259</v>
      </c>
      <c r="B1" s="402"/>
      <c r="C1" s="402"/>
      <c r="D1" s="402"/>
      <c r="E1" s="402"/>
      <c r="F1" s="402"/>
      <c r="G1" s="402"/>
      <c r="H1" s="402"/>
      <c r="I1" s="402"/>
      <c r="J1" s="402"/>
      <c r="K1" s="402"/>
      <c r="L1" s="402"/>
      <c r="M1" s="402"/>
      <c r="N1" s="402"/>
      <c r="O1" s="402"/>
      <c r="P1" s="402"/>
      <c r="Q1" s="402"/>
      <c r="R1" s="402"/>
      <c r="S1" s="402"/>
      <c r="T1" s="402"/>
      <c r="U1" s="402"/>
    </row>
    <row r="2" spans="1:21" ht="24" customHeight="1" x14ac:dyDescent="0.3">
      <c r="A2" s="436" t="s">
        <v>1260</v>
      </c>
      <c r="B2" s="436"/>
      <c r="C2" s="436"/>
      <c r="D2" s="436"/>
      <c r="E2" s="436"/>
      <c r="F2" s="436"/>
      <c r="G2" s="436"/>
      <c r="H2" s="436"/>
      <c r="I2" s="436"/>
      <c r="J2" s="436"/>
      <c r="K2" s="436"/>
      <c r="L2" s="436"/>
      <c r="M2" s="436"/>
      <c r="N2" s="436"/>
      <c r="O2" s="436"/>
      <c r="P2" s="436"/>
      <c r="Q2" s="436"/>
      <c r="R2" s="436"/>
      <c r="S2" s="436"/>
      <c r="T2" s="436"/>
      <c r="U2" s="436"/>
    </row>
    <row r="4" spans="1:21" ht="21.75" customHeight="1" x14ac:dyDescent="0.3">
      <c r="A4" s="437" t="s">
        <v>1261</v>
      </c>
      <c r="B4" s="437"/>
      <c r="C4" s="437"/>
      <c r="D4" s="437"/>
      <c r="E4" s="437"/>
      <c r="F4" s="437"/>
      <c r="G4" s="437"/>
      <c r="H4" s="437"/>
      <c r="I4" s="437"/>
      <c r="J4" s="437"/>
      <c r="K4" s="437"/>
      <c r="L4" s="437"/>
      <c r="M4" s="437"/>
      <c r="N4" s="437"/>
      <c r="O4" s="437"/>
      <c r="P4" s="437"/>
      <c r="Q4" s="437"/>
      <c r="R4" s="437"/>
      <c r="S4" s="437"/>
      <c r="T4" s="437"/>
      <c r="U4" s="437"/>
    </row>
    <row r="5" spans="1:21" ht="19.5" customHeight="1" x14ac:dyDescent="0.3">
      <c r="A5" s="438" t="s">
        <v>1262</v>
      </c>
      <c r="B5" s="438"/>
      <c r="C5" s="438"/>
      <c r="D5" s="438"/>
      <c r="E5" s="438"/>
      <c r="F5" s="438"/>
      <c r="G5" s="438"/>
      <c r="H5" s="438"/>
      <c r="I5" s="438"/>
      <c r="J5" s="438"/>
      <c r="K5" s="438"/>
      <c r="L5" s="438"/>
      <c r="M5" s="438"/>
      <c r="N5" s="438"/>
      <c r="O5" s="438"/>
      <c r="P5" s="438"/>
      <c r="Q5" s="438"/>
      <c r="R5" s="438"/>
      <c r="S5" s="438"/>
      <c r="T5" s="438"/>
      <c r="U5" s="438"/>
    </row>
    <row r="6" spans="1:21" ht="14.25" customHeight="1" x14ac:dyDescent="0.3"/>
    <row r="7" spans="1:21" ht="14.25" customHeight="1" x14ac:dyDescent="0.3"/>
    <row r="8" spans="1:21" ht="14.25" customHeight="1" x14ac:dyDescent="0.3"/>
    <row r="9" spans="1:21" ht="14.25" customHeight="1" x14ac:dyDescent="0.3"/>
    <row r="10" spans="1:21" ht="14.25" customHeight="1" x14ac:dyDescent="0.3"/>
    <row r="11" spans="1:21" ht="14.25" customHeight="1" x14ac:dyDescent="0.3"/>
    <row r="12" spans="1:21" ht="14.25" customHeight="1" x14ac:dyDescent="0.3"/>
    <row r="13" spans="1:21" ht="14.25" customHeight="1" x14ac:dyDescent="0.3"/>
    <row r="14" spans="1:21" ht="14.25" customHeight="1" x14ac:dyDescent="0.3"/>
    <row r="15" spans="1:21" ht="14.25" customHeight="1" x14ac:dyDescent="0.3"/>
    <row r="16" spans="1:2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spans="1:21" ht="14.25" customHeight="1" x14ac:dyDescent="0.3"/>
    <row r="50" spans="1:21" ht="14.25" customHeight="1" x14ac:dyDescent="0.3"/>
    <row r="51" spans="1:21" ht="14.25" customHeight="1" x14ac:dyDescent="0.3"/>
    <row r="52" spans="1:21" ht="14.25" customHeight="1" x14ac:dyDescent="0.3"/>
    <row r="53" spans="1:21" ht="14.25" customHeight="1" x14ac:dyDescent="0.3"/>
    <row r="54" spans="1:21" ht="14.25" customHeight="1" x14ac:dyDescent="0.3"/>
    <row r="55" spans="1:21" ht="14.25" customHeight="1" x14ac:dyDescent="0.3"/>
    <row r="56" spans="1:21" ht="14.25" customHeight="1" x14ac:dyDescent="0.3"/>
    <row r="57" spans="1:21" ht="14.25" customHeight="1" x14ac:dyDescent="0.3"/>
    <row r="59" spans="1:21" ht="19.5" customHeight="1" x14ac:dyDescent="0.3">
      <c r="A59" s="437" t="s">
        <v>1263</v>
      </c>
      <c r="B59" s="437"/>
      <c r="C59" s="437"/>
      <c r="D59" s="437"/>
      <c r="E59" s="437"/>
      <c r="F59" s="437"/>
      <c r="G59" s="437"/>
      <c r="H59" s="437"/>
      <c r="I59" s="437"/>
      <c r="J59" s="437"/>
      <c r="K59" s="437"/>
      <c r="L59" s="437"/>
      <c r="M59" s="437"/>
      <c r="N59" s="437"/>
      <c r="O59" s="437"/>
      <c r="P59" s="437"/>
      <c r="Q59" s="437"/>
      <c r="R59" s="437"/>
      <c r="S59" s="437"/>
      <c r="T59" s="437"/>
      <c r="U59" s="437"/>
    </row>
    <row r="60" spans="1:21" ht="19.5" customHeight="1" x14ac:dyDescent="0.3">
      <c r="A60" s="274" t="s">
        <v>1264</v>
      </c>
      <c r="B60" s="274" t="s">
        <v>1265</v>
      </c>
      <c r="C60" s="274" t="s">
        <v>1266</v>
      </c>
      <c r="D60" s="274" t="s">
        <v>1267</v>
      </c>
      <c r="E60" s="274" t="s">
        <v>1268</v>
      </c>
    </row>
    <row r="61" spans="1:21" ht="24" customHeight="1" x14ac:dyDescent="0.3">
      <c r="A61" s="98" t="s">
        <v>1269</v>
      </c>
      <c r="B61" s="346" t="s">
        <v>1270</v>
      </c>
      <c r="C61" s="347" t="s">
        <v>1271</v>
      </c>
      <c r="D61" s="98" t="s">
        <v>1272</v>
      </c>
      <c r="E61" s="98" t="s">
        <v>1273</v>
      </c>
    </row>
    <row r="62" spans="1:21" ht="24" customHeight="1" x14ac:dyDescent="0.3">
      <c r="A62" s="69" t="s">
        <v>1274</v>
      </c>
      <c r="B62" s="348" t="s">
        <v>1275</v>
      </c>
      <c r="C62" s="349" t="s">
        <v>1276</v>
      </c>
      <c r="D62" s="69" t="s">
        <v>1277</v>
      </c>
      <c r="E62" s="69" t="s">
        <v>1278</v>
      </c>
    </row>
    <row r="63" spans="1:21" ht="24" customHeight="1" x14ac:dyDescent="0.3">
      <c r="A63" s="98" t="s">
        <v>1279</v>
      </c>
      <c r="B63" s="346" t="s">
        <v>1275</v>
      </c>
      <c r="C63" s="347" t="s">
        <v>1280</v>
      </c>
      <c r="D63" s="98" t="s">
        <v>1281</v>
      </c>
      <c r="E63" s="98" t="s">
        <v>1282</v>
      </c>
    </row>
    <row r="64" spans="1:21" ht="24" customHeight="1" x14ac:dyDescent="0.3">
      <c r="A64" s="69" t="s">
        <v>1283</v>
      </c>
      <c r="B64" s="348" t="s">
        <v>1284</v>
      </c>
      <c r="C64" s="349" t="s">
        <v>1285</v>
      </c>
      <c r="D64" s="69" t="s">
        <v>1286</v>
      </c>
      <c r="E64" s="69" t="s">
        <v>1287</v>
      </c>
    </row>
    <row r="65" spans="1:21" ht="24" customHeight="1" x14ac:dyDescent="0.3">
      <c r="A65" s="98" t="s">
        <v>1288</v>
      </c>
      <c r="B65" s="346" t="s">
        <v>1289</v>
      </c>
      <c r="C65" s="347" t="s">
        <v>1290</v>
      </c>
      <c r="D65" s="98" t="s">
        <v>1291</v>
      </c>
      <c r="E65" s="98" t="s">
        <v>1292</v>
      </c>
    </row>
    <row r="66" spans="1:21" ht="24" customHeight="1" x14ac:dyDescent="0.3">
      <c r="A66" s="69" t="s">
        <v>1293</v>
      </c>
      <c r="B66" s="348" t="s">
        <v>1294</v>
      </c>
      <c r="C66" s="349" t="s">
        <v>1295</v>
      </c>
      <c r="D66" s="69" t="s">
        <v>1296</v>
      </c>
      <c r="E66" s="69" t="s">
        <v>1297</v>
      </c>
    </row>
    <row r="67" spans="1:21" ht="24" customHeight="1" x14ac:dyDescent="0.3">
      <c r="A67" s="98" t="s">
        <v>1298</v>
      </c>
      <c r="B67" s="346" t="s">
        <v>1299</v>
      </c>
      <c r="C67" s="347" t="s">
        <v>1300</v>
      </c>
      <c r="D67" s="98" t="s">
        <v>1301</v>
      </c>
      <c r="E67" s="98" t="s">
        <v>1302</v>
      </c>
    </row>
    <row r="68" spans="1:21" ht="24" customHeight="1" x14ac:dyDescent="0.3">
      <c r="A68" s="69" t="s">
        <v>1303</v>
      </c>
      <c r="B68" s="350" t="s">
        <v>1304</v>
      </c>
      <c r="C68" s="349" t="s">
        <v>1305</v>
      </c>
      <c r="D68" s="69" t="s">
        <v>1306</v>
      </c>
      <c r="E68" s="69" t="s">
        <v>1307</v>
      </c>
    </row>
    <row r="69" spans="1:21" ht="21.75" customHeight="1" x14ac:dyDescent="0.3">
      <c r="A69" s="184" t="s">
        <v>1308</v>
      </c>
      <c r="B69" s="345"/>
      <c r="C69" s="345" t="s">
        <v>1309</v>
      </c>
      <c r="D69" s="106" t="s">
        <v>1310</v>
      </c>
      <c r="E69" s="345"/>
    </row>
    <row r="71" spans="1:21" ht="21.75" customHeight="1" x14ac:dyDescent="0.3">
      <c r="A71" s="439" t="s">
        <v>1311</v>
      </c>
      <c r="B71" s="439"/>
      <c r="C71" s="439"/>
      <c r="D71" s="439"/>
      <c r="E71" s="439"/>
      <c r="F71" s="439"/>
      <c r="G71" s="439"/>
      <c r="H71" s="439"/>
      <c r="I71" s="439"/>
      <c r="J71" s="439"/>
      <c r="K71" s="439"/>
      <c r="L71" s="439"/>
      <c r="M71" s="439"/>
      <c r="N71" s="439"/>
      <c r="O71" s="439"/>
      <c r="P71" s="439"/>
      <c r="Q71" s="439"/>
      <c r="R71" s="439"/>
      <c r="S71" s="439"/>
      <c r="T71" s="439"/>
      <c r="U71" s="439"/>
    </row>
    <row r="72" spans="1:21" ht="25.5" customHeight="1" x14ac:dyDescent="0.3">
      <c r="A72" s="436" t="s">
        <v>1312</v>
      </c>
      <c r="B72" s="436"/>
      <c r="C72" s="436"/>
      <c r="D72" s="436"/>
      <c r="E72" s="436"/>
      <c r="F72" s="436"/>
      <c r="G72" s="436"/>
      <c r="H72" s="436"/>
      <c r="I72" s="436"/>
      <c r="J72" s="436"/>
      <c r="K72" s="436"/>
      <c r="L72" s="436"/>
      <c r="M72" s="436"/>
      <c r="N72" s="436"/>
      <c r="O72" s="436"/>
      <c r="P72" s="436"/>
      <c r="Q72" s="436"/>
      <c r="R72" s="436"/>
      <c r="S72" s="436"/>
      <c r="T72" s="436"/>
      <c r="U72" s="436"/>
    </row>
    <row r="73" spans="1:21" ht="14.25" customHeight="1" x14ac:dyDescent="0.3"/>
    <row r="74" spans="1:21" ht="14.25" customHeight="1" x14ac:dyDescent="0.3"/>
    <row r="75" spans="1:21" ht="14.25" customHeight="1" x14ac:dyDescent="0.3"/>
    <row r="76" spans="1:21" ht="14.25" customHeight="1" x14ac:dyDescent="0.3"/>
    <row r="77" spans="1:21" ht="14.25" customHeight="1" x14ac:dyDescent="0.3"/>
    <row r="78" spans="1:21" ht="14.25" customHeight="1" x14ac:dyDescent="0.3"/>
    <row r="79" spans="1:21" ht="14.25" customHeight="1" x14ac:dyDescent="0.3"/>
    <row r="80" spans="1:21"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spans="1:21" ht="14.25" customHeight="1" x14ac:dyDescent="0.3"/>
    <row r="114" spans="1:21" ht="14.25" customHeight="1" x14ac:dyDescent="0.3"/>
    <row r="115" spans="1:21" ht="14.25" customHeight="1" x14ac:dyDescent="0.3"/>
    <row r="116" spans="1:21" ht="14.25" customHeight="1" x14ac:dyDescent="0.3"/>
    <row r="117" spans="1:21" ht="14.25" customHeight="1" x14ac:dyDescent="0.3"/>
    <row r="118" spans="1:21" ht="14.25" customHeight="1" x14ac:dyDescent="0.3"/>
    <row r="119" spans="1:21" ht="14.25" customHeight="1" x14ac:dyDescent="0.3"/>
    <row r="120" spans="1:21" ht="14.25" customHeight="1" x14ac:dyDescent="0.3"/>
    <row r="121" spans="1:21" ht="14.25" customHeight="1" x14ac:dyDescent="0.3"/>
    <row r="122" spans="1:21" ht="14.25" customHeight="1" x14ac:dyDescent="0.3"/>
    <row r="123" spans="1:21" ht="14.25" customHeight="1" x14ac:dyDescent="0.3"/>
    <row r="124" spans="1:21" ht="14.25" customHeight="1" x14ac:dyDescent="0.3"/>
    <row r="126" spans="1:21" ht="19.5" customHeight="1" x14ac:dyDescent="0.3">
      <c r="A126" s="439" t="s">
        <v>1313</v>
      </c>
      <c r="B126" s="439"/>
      <c r="C126" s="439"/>
      <c r="D126" s="439"/>
      <c r="E126" s="439"/>
      <c r="F126" s="439"/>
      <c r="G126" s="439"/>
      <c r="H126" s="439"/>
      <c r="I126" s="439"/>
      <c r="J126" s="439"/>
      <c r="K126" s="439"/>
      <c r="L126" s="439"/>
      <c r="M126" s="439"/>
      <c r="N126" s="439"/>
      <c r="O126" s="439"/>
      <c r="P126" s="439"/>
      <c r="Q126" s="439"/>
      <c r="R126" s="439"/>
      <c r="S126" s="439"/>
      <c r="T126" s="439"/>
      <c r="U126" s="439"/>
    </row>
    <row r="127" spans="1:21" ht="19.5" customHeight="1" x14ac:dyDescent="0.3">
      <c r="A127" s="61" t="s">
        <v>396</v>
      </c>
      <c r="B127" s="61" t="s">
        <v>1314</v>
      </c>
      <c r="C127" s="61" t="s">
        <v>576</v>
      </c>
      <c r="D127" s="61" t="s">
        <v>1315</v>
      </c>
      <c r="E127" s="61" t="s">
        <v>1316</v>
      </c>
      <c r="F127" s="61" t="s">
        <v>1317</v>
      </c>
      <c r="G127" s="61" t="s">
        <v>1001</v>
      </c>
    </row>
    <row r="128" spans="1:21" ht="21.75" customHeight="1" x14ac:dyDescent="0.3">
      <c r="A128" s="351" t="s">
        <v>1318</v>
      </c>
      <c r="B128" s="352" t="s">
        <v>1319</v>
      </c>
      <c r="C128" s="353" t="s">
        <v>1320</v>
      </c>
      <c r="D128" s="353" t="s">
        <v>1321</v>
      </c>
      <c r="E128" s="353" t="s">
        <v>1321</v>
      </c>
      <c r="F128" s="353" t="s">
        <v>1322</v>
      </c>
      <c r="G128" s="351" t="s">
        <v>1323</v>
      </c>
    </row>
    <row r="129" spans="1:7" ht="21.75" customHeight="1" x14ac:dyDescent="0.3">
      <c r="A129" s="351" t="s">
        <v>1324</v>
      </c>
      <c r="B129" s="354" t="s">
        <v>1325</v>
      </c>
      <c r="C129" s="353" t="s">
        <v>1326</v>
      </c>
      <c r="D129" s="353" t="s">
        <v>1327</v>
      </c>
      <c r="E129" s="353" t="s">
        <v>1328</v>
      </c>
      <c r="F129" s="353" t="s">
        <v>1329</v>
      </c>
      <c r="G129" s="351" t="s">
        <v>1330</v>
      </c>
    </row>
    <row r="130" spans="1:7" ht="21.75" customHeight="1" x14ac:dyDescent="0.3">
      <c r="A130" s="355" t="s">
        <v>1331</v>
      </c>
      <c r="B130" s="356" t="s">
        <v>1332</v>
      </c>
      <c r="C130" s="357" t="s">
        <v>245</v>
      </c>
      <c r="D130" s="357" t="s">
        <v>418</v>
      </c>
      <c r="E130" s="357" t="s">
        <v>418</v>
      </c>
      <c r="F130" s="357" t="s">
        <v>418</v>
      </c>
      <c r="G130" s="355" t="s">
        <v>1333</v>
      </c>
    </row>
    <row r="131" spans="1:7" ht="21.75" customHeight="1" x14ac:dyDescent="0.3">
      <c r="A131" s="69" t="s">
        <v>1334</v>
      </c>
      <c r="B131" s="348" t="s">
        <v>1319</v>
      </c>
      <c r="C131" s="35" t="s">
        <v>304</v>
      </c>
      <c r="D131" s="35" t="s">
        <v>1335</v>
      </c>
      <c r="E131" s="35" t="s">
        <v>1335</v>
      </c>
      <c r="F131" s="35" t="s">
        <v>1336</v>
      </c>
      <c r="G131" s="69" t="s">
        <v>1337</v>
      </c>
    </row>
    <row r="132" spans="1:7" ht="21.75" customHeight="1" x14ac:dyDescent="0.3">
      <c r="A132" s="351" t="s">
        <v>1338</v>
      </c>
      <c r="B132" s="352" t="s">
        <v>1319</v>
      </c>
      <c r="C132" s="353" t="s">
        <v>1339</v>
      </c>
      <c r="D132" s="353" t="s">
        <v>1340</v>
      </c>
      <c r="E132" s="353" t="s">
        <v>1341</v>
      </c>
      <c r="F132" s="353" t="s">
        <v>1342</v>
      </c>
      <c r="G132" s="351" t="s">
        <v>1343</v>
      </c>
    </row>
    <row r="133" spans="1:7" ht="21.75" customHeight="1" x14ac:dyDescent="0.3">
      <c r="A133" s="69" t="s">
        <v>1344</v>
      </c>
      <c r="B133" s="348" t="s">
        <v>1319</v>
      </c>
      <c r="C133" s="35" t="s">
        <v>304</v>
      </c>
      <c r="D133" s="35" t="s">
        <v>1345</v>
      </c>
      <c r="E133" s="35" t="s">
        <v>1345</v>
      </c>
      <c r="F133" s="35" t="s">
        <v>1346</v>
      </c>
      <c r="G133" s="69" t="s">
        <v>1347</v>
      </c>
    </row>
    <row r="134" spans="1:7" ht="21.75" customHeight="1" x14ac:dyDescent="0.3">
      <c r="A134" s="351" t="s">
        <v>1348</v>
      </c>
      <c r="B134" s="352" t="s">
        <v>1319</v>
      </c>
      <c r="C134" s="353" t="s">
        <v>304</v>
      </c>
      <c r="D134" s="353" t="s">
        <v>1349</v>
      </c>
      <c r="E134" s="353" t="s">
        <v>1349</v>
      </c>
      <c r="F134" s="353" t="s">
        <v>1350</v>
      </c>
      <c r="G134" s="351" t="s">
        <v>1351</v>
      </c>
    </row>
    <row r="135" spans="1:7" ht="21.75" customHeight="1" x14ac:dyDescent="0.3">
      <c r="A135" s="69" t="s">
        <v>1352</v>
      </c>
      <c r="B135" s="348" t="s">
        <v>1319</v>
      </c>
      <c r="C135" s="35" t="s">
        <v>304</v>
      </c>
      <c r="D135" s="35" t="s">
        <v>1353</v>
      </c>
      <c r="E135" s="35" t="s">
        <v>1353</v>
      </c>
      <c r="F135" s="35" t="s">
        <v>1354</v>
      </c>
      <c r="G135" s="69" t="s">
        <v>1355</v>
      </c>
    </row>
    <row r="136" spans="1:7" ht="21.75" customHeight="1" x14ac:dyDescent="0.3">
      <c r="A136" s="351" t="s">
        <v>1356</v>
      </c>
      <c r="B136" s="352" t="s">
        <v>1319</v>
      </c>
      <c r="C136" s="353" t="s">
        <v>304</v>
      </c>
      <c r="D136" s="353" t="s">
        <v>1357</v>
      </c>
      <c r="E136" s="353" t="s">
        <v>1357</v>
      </c>
      <c r="F136" s="353" t="s">
        <v>1358</v>
      </c>
      <c r="G136" s="351" t="s">
        <v>1359</v>
      </c>
    </row>
    <row r="137" spans="1:7" ht="21.75" customHeight="1" x14ac:dyDescent="0.3">
      <c r="A137" s="69" t="s">
        <v>1360</v>
      </c>
      <c r="B137" s="348" t="s">
        <v>1319</v>
      </c>
      <c r="C137" s="35" t="s">
        <v>304</v>
      </c>
      <c r="D137" s="35" t="s">
        <v>1361</v>
      </c>
      <c r="E137" s="35" t="s">
        <v>1361</v>
      </c>
      <c r="F137" s="35" t="s">
        <v>1362</v>
      </c>
      <c r="G137" s="69" t="s">
        <v>1363</v>
      </c>
    </row>
    <row r="138" spans="1:7" ht="21.75" customHeight="1" x14ac:dyDescent="0.3">
      <c r="A138" s="355" t="s">
        <v>1364</v>
      </c>
      <c r="B138" s="356" t="s">
        <v>1365</v>
      </c>
      <c r="C138" s="357" t="s">
        <v>245</v>
      </c>
      <c r="D138" s="357" t="s">
        <v>418</v>
      </c>
      <c r="E138" s="357" t="s">
        <v>418</v>
      </c>
      <c r="F138" s="357" t="s">
        <v>418</v>
      </c>
      <c r="G138" s="355" t="s">
        <v>1366</v>
      </c>
    </row>
    <row r="139" spans="1:7" ht="21.75" customHeight="1" x14ac:dyDescent="0.3">
      <c r="A139" s="355" t="s">
        <v>1367</v>
      </c>
      <c r="B139" s="356" t="s">
        <v>1368</v>
      </c>
      <c r="C139" s="357" t="s">
        <v>245</v>
      </c>
      <c r="D139" s="357" t="s">
        <v>418</v>
      </c>
      <c r="E139" s="357" t="s">
        <v>418</v>
      </c>
      <c r="F139" s="357" t="s">
        <v>418</v>
      </c>
      <c r="G139" s="355" t="s">
        <v>1369</v>
      </c>
    </row>
    <row r="140" spans="1:7" ht="21.75" customHeight="1" x14ac:dyDescent="0.3">
      <c r="A140" s="358" t="s">
        <v>1370</v>
      </c>
      <c r="B140" s="359"/>
      <c r="C140" s="359"/>
      <c r="D140" s="359"/>
      <c r="E140" s="359" t="s">
        <v>1371</v>
      </c>
      <c r="F140" s="359" t="s">
        <v>1372</v>
      </c>
      <c r="G140" s="359" t="s">
        <v>1373</v>
      </c>
    </row>
  </sheetData>
  <mergeCells count="8">
    <mergeCell ref="A71:U71"/>
    <mergeCell ref="A72:U72"/>
    <mergeCell ref="A126:U126"/>
    <mergeCell ref="A1:U1"/>
    <mergeCell ref="A2:U2"/>
    <mergeCell ref="A4:U4"/>
    <mergeCell ref="A5:U5"/>
    <mergeCell ref="A59:U59"/>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5"/>
  <sheetViews>
    <sheetView showGridLines="0" topLeftCell="A24" zoomScaleNormal="100" workbookViewId="0"/>
  </sheetViews>
  <sheetFormatPr defaultColWidth="8.6640625" defaultRowHeight="14.4" x14ac:dyDescent="0.3"/>
  <cols>
    <col min="1" max="1" width="28" customWidth="1"/>
    <col min="2" max="10" width="14" customWidth="1"/>
  </cols>
  <sheetData>
    <row r="1" spans="1:10" ht="27.75" customHeight="1" x14ac:dyDescent="0.3">
      <c r="A1" s="7" t="s">
        <v>1374</v>
      </c>
      <c r="B1" s="7"/>
      <c r="C1" s="7"/>
      <c r="D1" s="7"/>
      <c r="E1" s="7"/>
      <c r="F1" s="7"/>
      <c r="G1" s="7"/>
      <c r="H1" s="7"/>
      <c r="I1" s="7"/>
      <c r="J1" s="7"/>
    </row>
    <row r="2" spans="1:10" ht="12.75" customHeight="1" x14ac:dyDescent="0.3">
      <c r="A2" s="6" t="s">
        <v>1375</v>
      </c>
      <c r="B2" s="6"/>
      <c r="C2" s="6"/>
      <c r="D2" s="6"/>
      <c r="E2" s="6"/>
      <c r="F2" s="6"/>
      <c r="G2" s="6"/>
      <c r="H2" s="6"/>
      <c r="I2" s="6"/>
      <c r="J2" s="6"/>
    </row>
    <row r="4" spans="1:10" ht="18" customHeight="1" x14ac:dyDescent="0.3">
      <c r="A4" s="194" t="s">
        <v>1376</v>
      </c>
    </row>
    <row r="5" spans="1:10" ht="48" customHeight="1" x14ac:dyDescent="0.3">
      <c r="A5" s="18" t="s">
        <v>1377</v>
      </c>
      <c r="B5" s="440" t="s">
        <v>1378</v>
      </c>
      <c r="C5" s="440"/>
      <c r="D5" s="440"/>
      <c r="E5" s="440"/>
      <c r="F5" s="440"/>
      <c r="G5" s="440"/>
      <c r="H5" s="440"/>
      <c r="I5" s="440"/>
      <c r="J5" s="440"/>
    </row>
    <row r="6" spans="1:10" ht="48" customHeight="1" x14ac:dyDescent="0.3">
      <c r="A6" s="18" t="s">
        <v>1379</v>
      </c>
      <c r="B6" s="423" t="s">
        <v>1380</v>
      </c>
      <c r="C6" s="423"/>
      <c r="D6" s="423"/>
      <c r="E6" s="423"/>
      <c r="F6" s="423"/>
      <c r="G6" s="423"/>
      <c r="H6" s="423"/>
      <c r="I6" s="423"/>
      <c r="J6" s="423"/>
    </row>
    <row r="7" spans="1:10" ht="43.5" customHeight="1" x14ac:dyDescent="0.3">
      <c r="A7" s="18" t="s">
        <v>1381</v>
      </c>
      <c r="B7" s="440" t="s">
        <v>1382</v>
      </c>
      <c r="C7" s="440"/>
      <c r="D7" s="440"/>
      <c r="E7" s="440"/>
      <c r="F7" s="440"/>
      <c r="G7" s="440"/>
      <c r="H7" s="440"/>
      <c r="I7" s="440"/>
      <c r="J7" s="440"/>
    </row>
    <row r="8" spans="1:10" ht="48" customHeight="1" x14ac:dyDescent="0.3">
      <c r="A8" s="18" t="s">
        <v>1383</v>
      </c>
      <c r="B8" s="440" t="s">
        <v>1384</v>
      </c>
      <c r="C8" s="440"/>
      <c r="D8" s="440"/>
      <c r="E8" s="440"/>
      <c r="F8" s="440"/>
      <c r="G8" s="440"/>
      <c r="H8" s="440"/>
      <c r="I8" s="440"/>
      <c r="J8" s="440"/>
    </row>
    <row r="9" spans="1:10" ht="68.25" customHeight="1" x14ac:dyDescent="0.3">
      <c r="A9" s="18" t="s">
        <v>1385</v>
      </c>
      <c r="B9" s="440" t="s">
        <v>1386</v>
      </c>
      <c r="C9" s="440"/>
      <c r="D9" s="440"/>
      <c r="E9" s="440"/>
      <c r="F9" s="440"/>
      <c r="G9" s="440"/>
      <c r="H9" s="440"/>
      <c r="I9" s="440"/>
      <c r="J9" s="440"/>
    </row>
    <row r="10" spans="1:10" ht="48" customHeight="1" x14ac:dyDescent="0.3">
      <c r="A10" s="18" t="s">
        <v>1387</v>
      </c>
      <c r="B10" s="440" t="s">
        <v>1388</v>
      </c>
      <c r="C10" s="440"/>
      <c r="D10" s="440"/>
      <c r="E10" s="440"/>
      <c r="F10" s="440"/>
      <c r="G10" s="440"/>
      <c r="H10" s="440"/>
      <c r="I10" s="440"/>
      <c r="J10" s="440"/>
    </row>
    <row r="11" spans="1:10" ht="48" customHeight="1" x14ac:dyDescent="0.3">
      <c r="A11" s="18" t="s">
        <v>1389</v>
      </c>
      <c r="B11" s="440" t="s">
        <v>1390</v>
      </c>
      <c r="C11" s="440"/>
      <c r="D11" s="440"/>
      <c r="E11" s="440"/>
      <c r="F11" s="440"/>
      <c r="G11" s="440"/>
      <c r="H11" s="440"/>
      <c r="I11" s="440"/>
      <c r="J11" s="440"/>
    </row>
    <row r="13" spans="1:10" ht="18" customHeight="1" x14ac:dyDescent="0.3">
      <c r="A13" s="361" t="s">
        <v>1391</v>
      </c>
      <c r="B13" s="361"/>
      <c r="C13" s="361"/>
      <c r="D13" s="361"/>
      <c r="E13" s="361"/>
      <c r="F13" s="361"/>
      <c r="G13" s="361"/>
      <c r="H13" s="361"/>
      <c r="I13" s="361"/>
      <c r="J13" s="361"/>
    </row>
    <row r="14" spans="1:10" ht="48" customHeight="1" x14ac:dyDescent="0.3">
      <c r="A14" s="18" t="s">
        <v>1392</v>
      </c>
      <c r="B14" s="440" t="s">
        <v>1393</v>
      </c>
      <c r="C14" s="440"/>
      <c r="D14" s="440"/>
      <c r="E14" s="440"/>
      <c r="F14" s="440"/>
      <c r="G14" s="440"/>
      <c r="H14" s="440"/>
      <c r="I14" s="440"/>
      <c r="J14" s="440"/>
    </row>
    <row r="15" spans="1:10" ht="48" customHeight="1" x14ac:dyDescent="0.3">
      <c r="A15" s="18" t="s">
        <v>1394</v>
      </c>
      <c r="B15" s="440" t="s">
        <v>1395</v>
      </c>
      <c r="C15" s="440"/>
      <c r="D15" s="440"/>
      <c r="E15" s="440"/>
      <c r="F15" s="440"/>
      <c r="G15" s="440"/>
      <c r="H15" s="440"/>
      <c r="I15" s="440"/>
      <c r="J15" s="440"/>
    </row>
    <row r="16" spans="1:10" ht="48" customHeight="1" x14ac:dyDescent="0.3">
      <c r="A16" s="18" t="s">
        <v>1396</v>
      </c>
      <c r="B16" s="440" t="s">
        <v>1397</v>
      </c>
      <c r="C16" s="440"/>
      <c r="D16" s="440"/>
      <c r="E16" s="440"/>
      <c r="F16" s="440"/>
      <c r="G16" s="440"/>
      <c r="H16" s="440"/>
      <c r="I16" s="440"/>
      <c r="J16" s="440"/>
    </row>
    <row r="17" spans="1:10" ht="48" customHeight="1" x14ac:dyDescent="0.3">
      <c r="A17" s="18" t="s">
        <v>1398</v>
      </c>
      <c r="B17" s="440" t="s">
        <v>1399</v>
      </c>
      <c r="C17" s="440"/>
      <c r="D17" s="440"/>
      <c r="E17" s="440"/>
      <c r="F17" s="440"/>
      <c r="G17" s="440"/>
      <c r="H17" s="440"/>
      <c r="I17" s="440"/>
      <c r="J17" s="440"/>
    </row>
    <row r="18" spans="1:10" ht="48" customHeight="1" x14ac:dyDescent="0.3">
      <c r="A18" s="18" t="s">
        <v>1400</v>
      </c>
      <c r="B18" s="440" t="s">
        <v>1401</v>
      </c>
      <c r="C18" s="440"/>
      <c r="D18" s="440"/>
      <c r="E18" s="440"/>
      <c r="F18" s="440"/>
      <c r="G18" s="440"/>
      <c r="H18" s="440"/>
      <c r="I18" s="440"/>
      <c r="J18" s="440"/>
    </row>
    <row r="19" spans="1:10" ht="48" customHeight="1" x14ac:dyDescent="0.3">
      <c r="A19" s="18" t="s">
        <v>1402</v>
      </c>
      <c r="B19" s="440" t="s">
        <v>1403</v>
      </c>
      <c r="C19" s="440"/>
      <c r="D19" s="440"/>
      <c r="E19" s="440"/>
      <c r="F19" s="440"/>
      <c r="G19" s="440"/>
      <c r="H19" s="440"/>
      <c r="I19" s="440"/>
      <c r="J19" s="440"/>
    </row>
    <row r="20" spans="1:10" ht="48" customHeight="1" x14ac:dyDescent="0.3">
      <c r="A20" s="18" t="s">
        <v>1404</v>
      </c>
      <c r="B20" s="440" t="s">
        <v>1405</v>
      </c>
      <c r="C20" s="440"/>
      <c r="D20" s="440"/>
      <c r="E20" s="440"/>
      <c r="F20" s="440"/>
      <c r="G20" s="440"/>
      <c r="H20" s="440"/>
      <c r="I20" s="440"/>
      <c r="J20" s="440"/>
    </row>
    <row r="21" spans="1:10" ht="48" customHeight="1" x14ac:dyDescent="0.3">
      <c r="A21" s="18" t="s">
        <v>1406</v>
      </c>
      <c r="B21" s="440" t="s">
        <v>1407</v>
      </c>
      <c r="C21" s="440"/>
      <c r="D21" s="440"/>
      <c r="E21" s="440"/>
      <c r="F21" s="440"/>
      <c r="G21" s="440"/>
      <c r="H21" s="440"/>
      <c r="I21" s="440"/>
      <c r="J21" s="440"/>
    </row>
    <row r="23" spans="1:10" ht="18" customHeight="1" x14ac:dyDescent="0.3">
      <c r="A23" s="380" t="s">
        <v>1408</v>
      </c>
      <c r="B23" s="380"/>
      <c r="C23" s="380"/>
      <c r="D23" s="380"/>
      <c r="E23" s="380"/>
      <c r="F23" s="380"/>
      <c r="G23" s="380"/>
      <c r="H23" s="380"/>
      <c r="I23" s="380"/>
      <c r="J23" s="380"/>
    </row>
    <row r="24" spans="1:10" ht="48" customHeight="1" x14ac:dyDescent="0.3">
      <c r="A24" s="18" t="s">
        <v>1409</v>
      </c>
      <c r="B24" s="440" t="s">
        <v>1410</v>
      </c>
      <c r="C24" s="440"/>
      <c r="D24" s="440"/>
      <c r="E24" s="440"/>
      <c r="F24" s="440"/>
      <c r="G24" s="440"/>
      <c r="H24" s="440"/>
      <c r="I24" s="440"/>
      <c r="J24" s="440"/>
    </row>
    <row r="25" spans="1:10" ht="48" customHeight="1" x14ac:dyDescent="0.3">
      <c r="A25" s="18" t="s">
        <v>1411</v>
      </c>
      <c r="B25" s="440" t="s">
        <v>1412</v>
      </c>
      <c r="C25" s="440"/>
      <c r="D25" s="440"/>
      <c r="E25" s="440"/>
      <c r="F25" s="440"/>
      <c r="G25" s="440"/>
      <c r="H25" s="440"/>
      <c r="I25" s="440"/>
      <c r="J25" s="440"/>
    </row>
    <row r="26" spans="1:10" ht="48" customHeight="1" x14ac:dyDescent="0.3">
      <c r="A26" s="18" t="s">
        <v>1413</v>
      </c>
      <c r="B26" s="440" t="s">
        <v>1414</v>
      </c>
      <c r="C26" s="440"/>
      <c r="D26" s="440"/>
      <c r="E26" s="440"/>
      <c r="F26" s="440"/>
      <c r="G26" s="440"/>
      <c r="H26" s="440"/>
      <c r="I26" s="440"/>
      <c r="J26" s="440"/>
    </row>
    <row r="27" spans="1:10" ht="48" customHeight="1" x14ac:dyDescent="0.3">
      <c r="A27" s="18" t="s">
        <v>688</v>
      </c>
      <c r="B27" s="440" t="s">
        <v>1415</v>
      </c>
      <c r="C27" s="440"/>
      <c r="D27" s="440"/>
      <c r="E27" s="440"/>
      <c r="F27" s="440"/>
      <c r="G27" s="440"/>
      <c r="H27" s="440"/>
      <c r="I27" s="440"/>
      <c r="J27" s="440"/>
    </row>
    <row r="29" spans="1:10" ht="18" customHeight="1" x14ac:dyDescent="0.3">
      <c r="A29" s="12" t="s">
        <v>1416</v>
      </c>
      <c r="B29" s="12"/>
      <c r="C29" s="12"/>
      <c r="D29" s="12"/>
      <c r="E29" s="12"/>
      <c r="F29" s="12"/>
      <c r="G29" s="12"/>
      <c r="H29" s="12"/>
      <c r="I29" s="12"/>
      <c r="J29" s="12"/>
    </row>
    <row r="30" spans="1:10" ht="48" customHeight="1" x14ac:dyDescent="0.3">
      <c r="A30" s="18" t="s">
        <v>1417</v>
      </c>
      <c r="B30" s="440" t="s">
        <v>1418</v>
      </c>
      <c r="C30" s="440"/>
      <c r="D30" s="440"/>
      <c r="E30" s="440"/>
      <c r="F30" s="440"/>
      <c r="G30" s="440"/>
      <c r="H30" s="440"/>
      <c r="I30" s="440"/>
      <c r="J30" s="440"/>
    </row>
    <row r="31" spans="1:10" ht="48" customHeight="1" x14ac:dyDescent="0.3">
      <c r="A31" s="18" t="s">
        <v>1419</v>
      </c>
      <c r="B31" s="440" t="s">
        <v>1420</v>
      </c>
      <c r="C31" s="440"/>
      <c r="D31" s="440"/>
      <c r="E31" s="440"/>
      <c r="F31" s="440"/>
      <c r="G31" s="440"/>
      <c r="H31" s="440"/>
      <c r="I31" s="440"/>
      <c r="J31" s="440"/>
    </row>
    <row r="32" spans="1:10" ht="48" customHeight="1" x14ac:dyDescent="0.3">
      <c r="A32" s="18" t="s">
        <v>1421</v>
      </c>
      <c r="B32" s="440" t="s">
        <v>1422</v>
      </c>
      <c r="C32" s="440"/>
      <c r="D32" s="440"/>
      <c r="E32" s="440"/>
      <c r="F32" s="440"/>
      <c r="G32" s="440"/>
      <c r="H32" s="440"/>
      <c r="I32" s="440"/>
      <c r="J32" s="440"/>
    </row>
    <row r="33" spans="1:10" ht="48" customHeight="1" x14ac:dyDescent="0.3">
      <c r="A33" s="18" t="s">
        <v>1423</v>
      </c>
      <c r="B33" s="440" t="s">
        <v>1424</v>
      </c>
      <c r="C33" s="440"/>
      <c r="D33" s="440"/>
      <c r="E33" s="440"/>
      <c r="F33" s="440"/>
      <c r="G33" s="440"/>
      <c r="H33" s="440"/>
      <c r="I33" s="440"/>
      <c r="J33" s="440"/>
    </row>
    <row r="34" spans="1:10" ht="48" customHeight="1" x14ac:dyDescent="0.3">
      <c r="A34" s="18" t="s">
        <v>1425</v>
      </c>
      <c r="B34" s="440" t="s">
        <v>1426</v>
      </c>
      <c r="C34" s="440"/>
      <c r="D34" s="440"/>
      <c r="E34" s="440"/>
      <c r="F34" s="440"/>
      <c r="G34" s="440"/>
      <c r="H34" s="440"/>
      <c r="I34" s="440"/>
      <c r="J34" s="440"/>
    </row>
    <row r="35" spans="1:10" ht="48" customHeight="1" x14ac:dyDescent="0.3">
      <c r="A35" s="18" t="s">
        <v>1427</v>
      </c>
      <c r="B35" s="440" t="s">
        <v>1428</v>
      </c>
      <c r="C35" s="440"/>
      <c r="D35" s="440"/>
      <c r="E35" s="440"/>
      <c r="F35" s="440"/>
      <c r="G35" s="440"/>
      <c r="H35" s="440"/>
      <c r="I35" s="440"/>
      <c r="J35" s="440"/>
    </row>
  </sheetData>
  <mergeCells count="30">
    <mergeCell ref="B31:J31"/>
    <mergeCell ref="B32:J32"/>
    <mergeCell ref="B33:J33"/>
    <mergeCell ref="B34:J34"/>
    <mergeCell ref="B35:J35"/>
    <mergeCell ref="B25:J25"/>
    <mergeCell ref="B26:J26"/>
    <mergeCell ref="B27:J27"/>
    <mergeCell ref="A29:J29"/>
    <mergeCell ref="B30:J30"/>
    <mergeCell ref="B19:J19"/>
    <mergeCell ref="B20:J20"/>
    <mergeCell ref="B21:J21"/>
    <mergeCell ref="A23:J23"/>
    <mergeCell ref="B24:J24"/>
    <mergeCell ref="B14:J14"/>
    <mergeCell ref="B15:J15"/>
    <mergeCell ref="B16:J16"/>
    <mergeCell ref="B17:J17"/>
    <mergeCell ref="B18:J18"/>
    <mergeCell ref="B8:J8"/>
    <mergeCell ref="B9:J9"/>
    <mergeCell ref="B10:J10"/>
    <mergeCell ref="B11:J11"/>
    <mergeCell ref="A13:J13"/>
    <mergeCell ref="A1:J1"/>
    <mergeCell ref="A2:J2"/>
    <mergeCell ref="B5:J5"/>
    <mergeCell ref="B6:J6"/>
    <mergeCell ref="B7:J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Key Assumptions</vt:lpstr>
      <vt:lpstr>Assumptions</vt:lpstr>
      <vt:lpstr>Revised Scope Estimate</vt:lpstr>
      <vt:lpstr>Executive Summary</vt:lpstr>
      <vt:lpstr>Cost Comparison</vt:lpstr>
      <vt:lpstr>Migration Plan &amp; Costs</vt:lpstr>
      <vt:lpstr>Risks &amp; Assumptions</vt:lpstr>
      <vt:lpstr>6-Month Migration Plan</vt:lpstr>
      <vt:lpstr>Financial Model (Jun26-Dec30)</vt:lpstr>
      <vt:lpstr>Migration Architecture</vt:lpstr>
      <vt:lpstr>Architecture &amp; Connectivity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ABHIJIT CHAKRABORTY</cp:lastModifiedBy>
  <cp:revision>0</cp:revision>
  <dcterms:created xsi:type="dcterms:W3CDTF">2026-03-25T19:58:57Z</dcterms:created>
  <dcterms:modified xsi:type="dcterms:W3CDTF">2026-04-01T14:28:02Z</dcterms:modified>
  <dc:language>en-US</dc:language>
</cp:coreProperties>
</file>