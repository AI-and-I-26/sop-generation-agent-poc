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45becee0fb282ce/Documents/Abhijit/AI and I/"/>
    </mc:Choice>
  </mc:AlternateContent>
  <xr:revisionPtr revIDLastSave="13" documentId="8_{3104786A-DC2A-4564-9F45-B349038812D7}" xr6:coauthVersionLast="47" xr6:coauthVersionMax="47" xr10:uidLastSave="{C7C8DB6F-1F90-4437-BE87-C64BA55D50E5}"/>
  <bookViews>
    <workbookView xWindow="-108" yWindow="-108" windowWidth="23256" windowHeight="13896" tabRatio="500" firstSheet="5" activeTab="7" xr2:uid="{00000000-000D-0000-FFFF-FFFF00000000}"/>
  </bookViews>
  <sheets>
    <sheet name="Key Assumptions" sheetId="1" r:id="rId1"/>
    <sheet name="Assumptions" sheetId="2" r:id="rId2"/>
    <sheet name="Executive Summary" sheetId="3" r:id="rId3"/>
    <sheet name="Cost Comparison" sheetId="4" r:id="rId4"/>
    <sheet name="Migration Plan &amp; Costs" sheetId="5" r:id="rId5"/>
    <sheet name="Risks &amp; Assumptions" sheetId="6" r:id="rId6"/>
    <sheet name="6-Month Migration Plan" sheetId="7" r:id="rId7"/>
    <sheet name="Financial Model (Jun26-Dec30)" sheetId="8" r:id="rId8"/>
    <sheet name="Architecture &amp; Connectivity"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2" i="8" l="1"/>
  <c r="C91" i="8"/>
  <c r="C90" i="8"/>
  <c r="C89" i="8"/>
  <c r="C88" i="8"/>
  <c r="F87" i="8"/>
  <c r="C87" i="8"/>
  <c r="F86" i="8"/>
  <c r="D86" i="8"/>
  <c r="C86" i="8"/>
  <c r="F36" i="8"/>
  <c r="C36" i="8"/>
  <c r="I24" i="8"/>
  <c r="H86" i="8" s="1"/>
  <c r="H24" i="8"/>
  <c r="F24" i="8"/>
  <c r="D24" i="8"/>
  <c r="C24" i="8"/>
  <c r="I23" i="8"/>
  <c r="H23" i="8"/>
  <c r="E23" i="8"/>
  <c r="I22" i="8"/>
  <c r="H22" i="8"/>
  <c r="E22" i="8"/>
  <c r="I21" i="8"/>
  <c r="H21" i="8"/>
  <c r="E21" i="8"/>
  <c r="I20" i="8"/>
  <c r="H20" i="8"/>
  <c r="E20" i="8"/>
  <c r="I19" i="8"/>
  <c r="H19" i="8"/>
  <c r="E19" i="8"/>
  <c r="I18" i="8"/>
  <c r="H18" i="8"/>
  <c r="E18" i="8"/>
  <c r="E24" i="8" s="1"/>
  <c r="B11" i="8"/>
  <c r="B10" i="8"/>
  <c r="B7" i="8"/>
  <c r="B6" i="8"/>
  <c r="B5" i="8"/>
  <c r="K10" i="7"/>
  <c r="K9" i="7"/>
  <c r="K8" i="7"/>
  <c r="K6" i="7"/>
  <c r="H77" i="5"/>
  <c r="G77" i="5"/>
  <c r="F77" i="5"/>
  <c r="E77" i="5"/>
  <c r="D77" i="5"/>
  <c r="C77" i="5"/>
  <c r="B53" i="5"/>
  <c r="F45" i="5"/>
  <c r="F44" i="5"/>
  <c r="F43" i="5"/>
  <c r="F42" i="5"/>
  <c r="B41" i="5"/>
  <c r="F41" i="5" s="1"/>
  <c r="D40" i="5"/>
  <c r="B40" i="5"/>
  <c r="F40" i="5" s="1"/>
  <c r="F35" i="5"/>
  <c r="E35" i="5"/>
  <c r="F34" i="5"/>
  <c r="E34" i="5"/>
  <c r="G27" i="5"/>
  <c r="F27" i="5"/>
  <c r="B27" i="5"/>
  <c r="D27" i="5" s="1"/>
  <c r="H26" i="5"/>
  <c r="G26" i="5"/>
  <c r="F26" i="5"/>
  <c r="D26" i="5"/>
  <c r="B26" i="5"/>
  <c r="G25" i="5"/>
  <c r="F25" i="5"/>
  <c r="B25" i="5"/>
  <c r="D25" i="5" s="1"/>
  <c r="G24" i="5"/>
  <c r="F24" i="5"/>
  <c r="D24" i="5"/>
  <c r="B24" i="5"/>
  <c r="H18" i="5"/>
  <c r="G18" i="5"/>
  <c r="F18" i="5"/>
  <c r="E18" i="5"/>
  <c r="D18" i="5"/>
  <c r="G17" i="5"/>
  <c r="F17" i="5"/>
  <c r="E17" i="5"/>
  <c r="D17" i="5"/>
  <c r="F11" i="5"/>
  <c r="E11" i="5"/>
  <c r="C11" i="5"/>
  <c r="G11" i="5" s="1"/>
  <c r="B11" i="5"/>
  <c r="G10" i="5"/>
  <c r="F10" i="5"/>
  <c r="E10" i="5"/>
  <c r="C10" i="5"/>
  <c r="B10" i="5"/>
  <c r="F9" i="5"/>
  <c r="E9" i="5"/>
  <c r="C9" i="5"/>
  <c r="G9" i="5" s="1"/>
  <c r="G12" i="5" s="1"/>
  <c r="B50" i="5" s="1"/>
  <c r="B9" i="5"/>
  <c r="B8" i="5"/>
  <c r="C8" i="5" s="1"/>
  <c r="B7" i="5"/>
  <c r="C7" i="5" s="1"/>
  <c r="C35" i="4"/>
  <c r="C36" i="4" s="1"/>
  <c r="B35" i="4"/>
  <c r="C34" i="4"/>
  <c r="B34" i="4"/>
  <c r="B36" i="4" s="1"/>
  <c r="E29" i="4"/>
  <c r="D29" i="4"/>
  <c r="C29" i="4"/>
  <c r="C28" i="4"/>
  <c r="D28" i="4" s="1"/>
  <c r="E28" i="4" s="1"/>
  <c r="C27" i="4"/>
  <c r="D27" i="4" s="1"/>
  <c r="E27" i="4" s="1"/>
  <c r="C26" i="4"/>
  <c r="D26" i="4" s="1"/>
  <c r="E26" i="4" s="1"/>
  <c r="D25" i="4"/>
  <c r="E25" i="4" s="1"/>
  <c r="C25" i="4"/>
  <c r="D24" i="4"/>
  <c r="E24" i="4" s="1"/>
  <c r="C24" i="4"/>
  <c r="B24" i="4"/>
  <c r="C23" i="4"/>
  <c r="D23" i="4" s="1"/>
  <c r="E23" i="4" s="1"/>
  <c r="C22" i="4"/>
  <c r="D22" i="4" s="1"/>
  <c r="E22" i="4" s="1"/>
  <c r="C21" i="4"/>
  <c r="D21" i="4" s="1"/>
  <c r="B21" i="4"/>
  <c r="B16" i="4"/>
  <c r="E16" i="4" s="1"/>
  <c r="C15" i="4"/>
  <c r="B15" i="4"/>
  <c r="K15" i="4" s="1"/>
  <c r="B14" i="4"/>
  <c r="E14" i="4" s="1"/>
  <c r="K13" i="4"/>
  <c r="E13" i="4"/>
  <c r="G13" i="4" s="1"/>
  <c r="C13" i="4"/>
  <c r="B13" i="4"/>
  <c r="I9" i="4"/>
  <c r="H9" i="4"/>
  <c r="G9" i="4"/>
  <c r="F9" i="4"/>
  <c r="D9" i="4"/>
  <c r="C9" i="4"/>
  <c r="I8" i="4"/>
  <c r="H8" i="4"/>
  <c r="G8" i="4"/>
  <c r="F8" i="4"/>
  <c r="D8" i="4"/>
  <c r="C8" i="4"/>
  <c r="I7" i="4"/>
  <c r="H7" i="4"/>
  <c r="G7" i="4"/>
  <c r="F7" i="4"/>
  <c r="D7" i="4"/>
  <c r="C7" i="4"/>
  <c r="I6" i="4"/>
  <c r="H6" i="4"/>
  <c r="F6" i="4"/>
  <c r="D6" i="4"/>
  <c r="C6" i="4"/>
  <c r="F23" i="3"/>
  <c r="E23" i="3"/>
  <c r="C23" i="3"/>
  <c r="D23" i="3" s="1"/>
  <c r="F22" i="3"/>
  <c r="C22" i="3"/>
  <c r="E22" i="3" s="1"/>
  <c r="F21" i="3"/>
  <c r="C21" i="3"/>
  <c r="E21" i="3" s="1"/>
  <c r="F20" i="3"/>
  <c r="D20" i="3"/>
  <c r="C20" i="3"/>
  <c r="E20" i="3" s="1"/>
  <c r="F19" i="3"/>
  <c r="C19" i="3"/>
  <c r="E19" i="3" s="1"/>
  <c r="E24" i="3" s="1"/>
  <c r="G15" i="3"/>
  <c r="F15" i="3"/>
  <c r="E15" i="3"/>
  <c r="C15" i="3"/>
  <c r="G14" i="3"/>
  <c r="G13" i="3"/>
  <c r="G12" i="3"/>
  <c r="G11" i="3"/>
  <c r="G10" i="3"/>
  <c r="J6" i="3"/>
  <c r="A6" i="3"/>
  <c r="A5" i="3"/>
  <c r="C70" i="2"/>
  <c r="B18" i="5" s="1"/>
  <c r="C68" i="2"/>
  <c r="C19" i="2"/>
  <c r="C17" i="2"/>
  <c r="C16" i="2"/>
  <c r="C18" i="2" s="1"/>
  <c r="C13" i="2"/>
  <c r="C14" i="2" s="1"/>
  <c r="E21" i="4" l="1"/>
  <c r="E30" i="4" s="1"/>
  <c r="C38" i="4" s="1"/>
  <c r="D30" i="4"/>
  <c r="B38" i="4" s="1"/>
  <c r="C17" i="4"/>
  <c r="C33" i="5"/>
  <c r="F46" i="5"/>
  <c r="B54" i="5" s="1"/>
  <c r="B17" i="5"/>
  <c r="H17" i="5"/>
  <c r="H19" i="5" s="1"/>
  <c r="B51" i="5" s="1"/>
  <c r="H27" i="5"/>
  <c r="C35" i="5"/>
  <c r="G35" i="5" s="1"/>
  <c r="G14" i="4"/>
  <c r="I14" i="4" s="1"/>
  <c r="M14" i="4" s="1"/>
  <c r="G16" i="4"/>
  <c r="I16" i="4" s="1"/>
  <c r="M16" i="4" s="1"/>
  <c r="C34" i="5"/>
  <c r="G34" i="5" s="1"/>
  <c r="H25" i="5"/>
  <c r="I13" i="4"/>
  <c r="D21" i="3"/>
  <c r="C15" i="2"/>
  <c r="K14" i="4"/>
  <c r="K17" i="4" s="1"/>
  <c r="B17" i="4"/>
  <c r="G86" i="8"/>
  <c r="K16" i="4"/>
  <c r="D22" i="3"/>
  <c r="E15" i="4"/>
  <c r="D19" i="3"/>
  <c r="C24" i="3"/>
  <c r="D24" i="3" s="1"/>
  <c r="C16" i="4"/>
  <c r="H24" i="5"/>
  <c r="C14" i="4"/>
  <c r="G15" i="4" l="1"/>
  <c r="I15" i="4"/>
  <c r="M15" i="4" s="1"/>
  <c r="C37" i="4"/>
  <c r="C39" i="4" s="1"/>
  <c r="B37" i="4"/>
  <c r="G17" i="4"/>
  <c r="M13" i="4"/>
  <c r="M17" i="4" s="1"/>
  <c r="I17" i="4"/>
  <c r="H28" i="5"/>
  <c r="B52" i="5" s="1"/>
  <c r="B55" i="5"/>
  <c r="D55" i="5" s="1"/>
  <c r="C56" i="5"/>
  <c r="B60" i="5"/>
  <c r="E17" i="4"/>
  <c r="D52" i="5" l="1"/>
  <c r="B39" i="4"/>
  <c r="E37" i="4"/>
  <c r="D37" i="4"/>
  <c r="D50" i="5"/>
  <c r="D54" i="5"/>
  <c r="C60" i="5"/>
  <c r="D53" i="5"/>
  <c r="D51" i="5"/>
  <c r="G6" i="3" l="1"/>
  <c r="D6" i="3"/>
  <c r="G5" i="3"/>
  <c r="D5" i="3"/>
  <c r="B8" i="8"/>
  <c r="B61" i="5"/>
  <c r="E39" i="4"/>
  <c r="D39" i="4"/>
  <c r="J5" i="3"/>
  <c r="B9" i="8"/>
  <c r="D67" i="8" l="1"/>
  <c r="E67" i="8" s="1"/>
  <c r="D51" i="8"/>
  <c r="E51" i="8" s="1"/>
  <c r="D34" i="8"/>
  <c r="D30" i="8"/>
  <c r="D70" i="8"/>
  <c r="E70" i="8" s="1"/>
  <c r="D54" i="8"/>
  <c r="E54" i="8" s="1"/>
  <c r="D73" i="8"/>
  <c r="E73" i="8" s="1"/>
  <c r="D57" i="8"/>
  <c r="E57" i="8" s="1"/>
  <c r="D41" i="8"/>
  <c r="D76" i="8"/>
  <c r="E76" i="8" s="1"/>
  <c r="D60" i="8"/>
  <c r="E60" i="8" s="1"/>
  <c r="D44" i="8"/>
  <c r="E44" i="8" s="1"/>
  <c r="D79" i="8"/>
  <c r="E79" i="8" s="1"/>
  <c r="D63" i="8"/>
  <c r="E63" i="8" s="1"/>
  <c r="D47" i="8"/>
  <c r="D33" i="8"/>
  <c r="D82" i="8"/>
  <c r="E82" i="8" s="1"/>
  <c r="D66" i="8"/>
  <c r="E66" i="8" s="1"/>
  <c r="D50" i="8"/>
  <c r="E50" i="8" s="1"/>
  <c r="D69" i="8"/>
  <c r="E69" i="8" s="1"/>
  <c r="D53" i="8"/>
  <c r="E53" i="8" s="1"/>
  <c r="D72" i="8"/>
  <c r="E72" i="8" s="1"/>
  <c r="D56" i="8"/>
  <c r="E56" i="8" s="1"/>
  <c r="D75" i="8"/>
  <c r="E75" i="8" s="1"/>
  <c r="D59" i="8"/>
  <c r="D43" i="8"/>
  <c r="E43" i="8" s="1"/>
  <c r="D32" i="8"/>
  <c r="D78" i="8"/>
  <c r="E78" i="8" s="1"/>
  <c r="D62" i="8"/>
  <c r="E62" i="8" s="1"/>
  <c r="D46" i="8"/>
  <c r="E46" i="8" s="1"/>
  <c r="D81" i="8"/>
  <c r="E81" i="8" s="1"/>
  <c r="D65" i="8"/>
  <c r="E65" i="8" s="1"/>
  <c r="D49" i="8"/>
  <c r="E49" i="8" s="1"/>
  <c r="D68" i="8"/>
  <c r="E68" i="8" s="1"/>
  <c r="D52" i="8"/>
  <c r="E52" i="8" s="1"/>
  <c r="D71" i="8"/>
  <c r="D55" i="8"/>
  <c r="E55" i="8" s="1"/>
  <c r="D35" i="8"/>
  <c r="D31" i="8"/>
  <c r="D74" i="8"/>
  <c r="E74" i="8" s="1"/>
  <c r="D58" i="8"/>
  <c r="E58" i="8" s="1"/>
  <c r="D42" i="8"/>
  <c r="E42" i="8" s="1"/>
  <c r="D77" i="8"/>
  <c r="E77" i="8" s="1"/>
  <c r="D61" i="8"/>
  <c r="E61" i="8" s="1"/>
  <c r="D45" i="8"/>
  <c r="E45" i="8" s="1"/>
  <c r="D80" i="8"/>
  <c r="E80" i="8" s="1"/>
  <c r="D64" i="8"/>
  <c r="E64" i="8" s="1"/>
  <c r="D48" i="8"/>
  <c r="E48" i="8" s="1"/>
  <c r="B12" i="8"/>
  <c r="B13" i="8" s="1"/>
  <c r="B64" i="5"/>
  <c r="B63" i="5"/>
  <c r="B62" i="5"/>
  <c r="D36" i="8" l="1"/>
  <c r="E87" i="8"/>
  <c r="D87" i="8"/>
  <c r="H30" i="8"/>
  <c r="E30" i="8"/>
  <c r="E36" i="8" s="1"/>
  <c r="H33" i="8"/>
  <c r="E33" i="8"/>
  <c r="E47" i="8"/>
  <c r="G89" i="8"/>
  <c r="E89" i="8"/>
  <c r="D89" i="8"/>
  <c r="E59" i="8"/>
  <c r="G90" i="8"/>
  <c r="E90" i="8"/>
  <c r="D90" i="8"/>
  <c r="E41" i="8"/>
  <c r="G88" i="8"/>
  <c r="E88" i="8"/>
  <c r="D88" i="8"/>
  <c r="G91" i="8"/>
  <c r="E91" i="8"/>
  <c r="D91" i="8"/>
  <c r="E71" i="8"/>
  <c r="H34" i="8"/>
  <c r="E34" i="8"/>
  <c r="H32" i="8"/>
  <c r="E32" i="8"/>
  <c r="H31" i="8"/>
  <c r="E31" i="8"/>
  <c r="H35" i="8"/>
  <c r="E35" i="8"/>
  <c r="H36" i="8" l="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I30" i="8"/>
  <c r="I31" i="8" s="1"/>
  <c r="I32" i="8" s="1"/>
  <c r="I33" i="8" s="1"/>
  <c r="I34" i="8" s="1"/>
  <c r="I35" i="8" s="1"/>
  <c r="I36" i="8" s="1"/>
  <c r="F73" i="8"/>
  <c r="F57" i="8"/>
  <c r="F41" i="8"/>
  <c r="F76" i="8"/>
  <c r="F60" i="8"/>
  <c r="F44" i="8"/>
  <c r="F79" i="8"/>
  <c r="F63" i="8"/>
  <c r="F47" i="8"/>
  <c r="F82" i="8"/>
  <c r="F66" i="8"/>
  <c r="F50" i="8"/>
  <c r="F69" i="8"/>
  <c r="F53" i="8"/>
  <c r="F72" i="8"/>
  <c r="F56" i="8"/>
  <c r="F75" i="8"/>
  <c r="F59" i="8"/>
  <c r="F43" i="8"/>
  <c r="F78" i="8"/>
  <c r="F62" i="8"/>
  <c r="F46" i="8"/>
  <c r="F81" i="8"/>
  <c r="F65" i="8"/>
  <c r="F49" i="8"/>
  <c r="F68" i="8"/>
  <c r="F52" i="8"/>
  <c r="F71" i="8"/>
  <c r="F55" i="8"/>
  <c r="F74" i="8"/>
  <c r="F58" i="8"/>
  <c r="F42" i="8"/>
  <c r="F77" i="8"/>
  <c r="F61" i="8"/>
  <c r="F45" i="8"/>
  <c r="F80" i="8"/>
  <c r="F64" i="8"/>
  <c r="F48" i="8"/>
  <c r="F67" i="8"/>
  <c r="F51" i="8"/>
  <c r="F70" i="8"/>
  <c r="F54" i="8"/>
  <c r="H88" i="8" l="1"/>
  <c r="H89" i="8" s="1"/>
  <c r="H90" i="8" s="1"/>
  <c r="H91" i="8" s="1"/>
  <c r="H87" i="8"/>
  <c r="G87" i="8"/>
  <c r="I41" i="8"/>
  <c r="I42" i="8" s="1"/>
  <c r="I43" i="8" s="1"/>
  <c r="I44" i="8" s="1"/>
  <c r="I45" i="8" s="1"/>
  <c r="I46" i="8" s="1"/>
  <c r="I47" i="8" s="1"/>
  <c r="I48" i="8" s="1"/>
  <c r="I49" i="8" s="1"/>
  <c r="I50" i="8" s="1"/>
  <c r="I51" i="8" s="1"/>
  <c r="I52" i="8" s="1"/>
  <c r="I53" i="8" s="1"/>
  <c r="I54" i="8" s="1"/>
  <c r="I55" i="8" s="1"/>
  <c r="I56" i="8" s="1"/>
  <c r="I57" i="8" s="1"/>
  <c r="I58" i="8" s="1"/>
  <c r="I59" i="8" s="1"/>
  <c r="I60" i="8" s="1"/>
  <c r="I61" i="8" s="1"/>
  <c r="I62" i="8" s="1"/>
  <c r="I63" i="8" s="1"/>
  <c r="I64" i="8" s="1"/>
  <c r="I65" i="8" s="1"/>
  <c r="I66" i="8" s="1"/>
  <c r="I67" i="8" s="1"/>
  <c r="I68" i="8" s="1"/>
  <c r="I69" i="8" s="1"/>
  <c r="I70" i="8" s="1"/>
  <c r="I71" i="8" s="1"/>
  <c r="I72" i="8" s="1"/>
  <c r="I73" i="8" s="1"/>
  <c r="I74" i="8" s="1"/>
  <c r="I75" i="8" s="1"/>
  <c r="I76" i="8" s="1"/>
  <c r="I77" i="8" s="1"/>
  <c r="I78" i="8" s="1"/>
  <c r="I79" i="8" s="1"/>
  <c r="I80" i="8" s="1"/>
  <c r="I81" i="8" s="1"/>
  <c r="I82" i="8" s="1"/>
  <c r="H92" i="8" s="1"/>
</calcChain>
</file>

<file path=xl/sharedStrings.xml><?xml version="1.0" encoding="utf-8"?>
<sst xmlns="http://schemas.openxmlformats.org/spreadsheetml/2006/main" count="1523" uniqueCount="1093">
  <si>
    <t>HUBSTOR → AWS S3 MIGRATION  |  KEY ASSUMPTIONS &amp; CAVEATS</t>
  </si>
  <si>
    <t>These assumptions must be reviewed and validated before the migration programme is formally approved. Any change to these assumptions may materially affect costs, timelines, or feasibility.</t>
  </si>
  <si>
    <t>BUSINESS &amp; SCOPE ASSUMPTIONS</t>
  </si>
  <si>
    <t>#</t>
  </si>
  <si>
    <t>Assumption</t>
  </si>
  <si>
    <t>Detail &amp; Implication</t>
  </si>
  <si>
    <t>Status / Action Required</t>
  </si>
  <si>
    <t>A1</t>
  </si>
  <si>
    <t>HubStor advanced features NOT included in new architecture</t>
  </si>
  <si>
    <t>We have NOT replicated HubStor-specific features such as content indexing, advanced discovery, legal hold workflow, or smart tiering intelligence. These are excluded because it is currently UNKNOWN whether these features are actively used by any CRL site or user. If any site relies on these features, additional tooling (e.g. AWS OpenSearch, Elasticsearch, or a third-party discovery layer) would need to be scoped and costed separately.</t>
  </si>
  <si>
    <t>⚠  Validate with site leads before migration start</t>
  </si>
  <si>
    <t>A2</t>
  </si>
  <si>
    <t>Discovery sites: potential divestitures not modelled</t>
  </si>
  <si>
    <t>CONFIRMED: All European Discovery sites (CRP, HAR, PTH — UK; LEI, GRO, KUO, SZG — NL/EU; FRI — DE) will be transferred to the new company environment from January 2027 onwards. These sites account for 70% of total data (746,609 GiB) and $24,807/mo of HubStor cost. Their data will NOT be migrated to AWS S3. CRL will bear the Azure retrieval and egress cost ($86,843 total) to export the data for hand-off. The timeline is: Jan=CRP, Feb=LEI, Mar=KUO+FRI, Apr=PTH+HAR, May=GRO+SZG, fully complete by Jun 2027. AWS S3 will only store non-discovery data: Safety Assessment, Microbial, and RMS sites (320,095 GiB).</t>
  </si>
  <si>
    <t>✅  CONFIRMED — Discovery data → new company from Jan 2027</t>
  </si>
  <si>
    <t>A3</t>
  </si>
  <si>
    <t>Contractual obligations &amp; data retention policy not yet verified</t>
  </si>
  <si>
    <t>We have assumed a 6-month migration window (Jul–Dec 2026) and HubStor termination from Jan 2027. HOWEVER: HubStor's contract notice period, any early termination penalties, and site-specific data retention policies (e.g. regulatory holds, litigation hold) have NOT been formally reviewed. These may affect: (1) the earliest possible HubStor termination date, (2) which data can be deleted from Azure and when, and (3) minimum retention periods before data can be moved. Legal and compliance review MUST be completed before finalising the migration schedule.</t>
  </si>
  <si>
    <t>🔴  CRITICAL — Legal/Compliance review required BEFORE approval</t>
  </si>
  <si>
    <t>A4</t>
  </si>
  <si>
    <t>HubStor not used for regulated / validated GxP systems</t>
  </si>
  <si>
    <t>This analysis assumes HubStor does not hold data from GxP-regulated or computer-system-validated environments. If HubStor IS used as part of a validated system (e.g. LIMS, ELN, laboratory instrument data), then: (1) migration must follow a validated CSV/change control process, (2) IQ/OQ/PQ testing may be required, (3) migration timelines will extend significantly, and (4) QA/Regulatory sign-off is mandatory before cutover. Please confirm with QA, Regulatory, and IT Compliance that no validated systems write to HubStor.</t>
  </si>
  <si>
    <t>🔴  CRITICAL — QA/Regulatory confirmation required</t>
  </si>
  <si>
    <t>A5</t>
  </si>
  <si>
    <t>All migration work performed by CRL internal resources (no external vendor)</t>
  </si>
  <si>
    <t>The cost model includes ZERO external vendor or consultancy fees. All activities — AWS account setup, IAM configuration, Storage Gateway installation, DataSync migration jobs, connector testing, validation, and HubStor decommission — are assumed to be executed by CRL's internal Cloud/IT team. If external resource is required (e.g. AWS Professional Services, system integrator, or HubStor migration support), an additional cost of $50K–$150K should be budgeted. Internal resource time has not been separately costed (opportunity cost only).</t>
  </si>
  <si>
    <t>⚠  Confirm internal resource availability before commitment</t>
  </si>
  <si>
    <t>A6</t>
  </si>
  <si>
    <t>Azure Backup &amp; DataBox: $3,000/mo additional charge included</t>
  </si>
  <si>
    <t>An additional $3,000/month Azure charge for Backup services and DataBox has been identified and IS included in this analysis as a separate line item in the current cost. This charge ceases when Azure is fully decommissioned (Dec 2026). It increases the true current Azure cost baseline and therefore increases the monthly saving.</t>
  </si>
  <si>
    <t>✅  Included in cost model — verified $3,000/mo</t>
  </si>
  <si>
    <t>A7</t>
  </si>
  <si>
    <t>AWS costs held flat for Year 1 (2027); 5% growth from Year 2 (2028)</t>
  </si>
  <si>
    <t>AWS storage and infrastructure pricing is assumed constant in 2027 (no growth). From 2028 onwards, data volume grows at 5% per year (conservative), increasing S3 storage costs. AWS list prices are not assumed to increase. Gateway appliance cost is amortised over 36 months.</t>
  </si>
  <si>
    <t>✅  Conservative growth assumption</t>
  </si>
  <si>
    <t>A8</t>
  </si>
  <si>
    <t>Storage Gateway: Hardware Appliance model selected</t>
  </si>
  <si>
    <t>Architecture assumes the AWS Storage Gateway Hardware Appliance (physical unit purchased/leased per site) rather than a VM-based software gateway. Cost modelled at ~$470/site/mo (amortised over 36 months from ~$16,920 list price). No EC2 instances or EBS volumes are required. If VM-based gateway on existing on-prem server is used instead, gateway cost = $0 (software only).</t>
  </si>
  <si>
    <t>⚠  Confirm hardware vs VM gateway with each site</t>
  </si>
  <si>
    <t>A9</t>
  </si>
  <si>
    <t>This document is prepared for internal CRL review only. Costs are estimates based on published list pricing as of Q1 2026 and actual HubStor Master Report data. Final costs subject to AWS contract negotiations, Wasabi quote, and HubStor termination terms. Not for external distribution.</t>
  </si>
  <si>
    <t>CENTRAL ASSUMPTIONS — ALL INPUTS IN ONE PLACE</t>
  </si>
  <si>
    <t>Yellow = hardcoded inputs (change here) | All other sheets reference these cells | Black text = formula | Blue text = linked input</t>
  </si>
  <si>
    <t>STORAGE VOLUMES (from HubStor Master Report v5)</t>
  </si>
  <si>
    <t>Parameter</t>
  </si>
  <si>
    <t>Cell Ref</t>
  </si>
  <si>
    <t>Value</t>
  </si>
  <si>
    <t>Unit</t>
  </si>
  <si>
    <t>Source / Notes</t>
  </si>
  <si>
    <t>Standard tier GiB</t>
  </si>
  <si>
    <t>GiB</t>
  </si>
  <si>
    <t>HubStor Master Report v5 actuals</t>
  </si>
  <si>
    <t>Hot tier GiB</t>
  </si>
  <si>
    <t>Cool tier GiB</t>
  </si>
  <si>
    <t>Cold tier GiB</t>
  </si>
  <si>
    <t>Archive tier GiB</t>
  </si>
  <si>
    <t>A10</t>
  </si>
  <si>
    <t>GiB → GB conversion factor</t>
  </si>
  <si>
    <t>A11</t>
  </si>
  <si>
    <t>×</t>
  </si>
  <si>
    <t>1 GiB = 1.074 GB (decimal)</t>
  </si>
  <si>
    <t>GiB per TiB (divisor)</t>
  </si>
  <si>
    <t>A12</t>
  </si>
  <si>
    <t>÷</t>
  </si>
  <si>
    <t>1 TiB = 1024 GiB</t>
  </si>
  <si>
    <t>Total GiB (all tiers)</t>
  </si>
  <si>
    <t>A13</t>
  </si>
  <si>
    <t>Sum of all five tiers</t>
  </si>
  <si>
    <t>Total TiB</t>
  </si>
  <si>
    <t>A14</t>
  </si>
  <si>
    <t>TiB</t>
  </si>
  <si>
    <t>Total GiB ÷ 1,024</t>
  </si>
  <si>
    <t>Total GB (decimal)</t>
  </si>
  <si>
    <t>A15</t>
  </si>
  <si>
    <t>GB</t>
  </si>
  <si>
    <t>Total GiB × 1.074 (for Azure/AWS pricing which uses decimal GB)</t>
  </si>
  <si>
    <t>US region GiB</t>
  </si>
  <si>
    <t>A16</t>
  </si>
  <si>
    <t>EastUS2 + WestUS2 (from Master Report)</t>
  </si>
  <si>
    <t>EU region GiB</t>
  </si>
  <si>
    <t>A17</t>
  </si>
  <si>
    <t>UKSouth + WestEurope + GermanyWestCentral</t>
  </si>
  <si>
    <t>US region GB</t>
  </si>
  <si>
    <t>A18</t>
  </si>
  <si>
    <t>US GiB × 1.074</t>
  </si>
  <si>
    <t>EU region GB</t>
  </si>
  <si>
    <t>A19</t>
  </si>
  <si>
    <t>EU GiB × 1.074</t>
  </si>
  <si>
    <t>AZURE / HUBSTOR PRICING</t>
  </si>
  <si>
    <t>Azure Standard/Hot $/GB/mo</t>
  </si>
  <si>
    <t>A23</t>
  </si>
  <si>
    <t>$/GB/mo</t>
  </si>
  <si>
    <t>Azure Blob Standard pricing (public)</t>
  </si>
  <si>
    <t>Azure Cool $/GB/mo</t>
  </si>
  <si>
    <t>A24</t>
  </si>
  <si>
    <t>Azure Blob Cool tier</t>
  </si>
  <si>
    <t>Azure Cold $/GB/mo</t>
  </si>
  <si>
    <t>A25</t>
  </si>
  <si>
    <t>Azure Blob Cold tier</t>
  </si>
  <si>
    <t>Azure Archive $/GB/mo</t>
  </si>
  <si>
    <t>A26</t>
  </si>
  <si>
    <t>Azure Blob Archive tier</t>
  </si>
  <si>
    <t>HubStor mgmt fee % of storage</t>
  </si>
  <si>
    <t>A27</t>
  </si>
  <si>
    <t>%</t>
  </si>
  <si>
    <t>Actual ratio: $9,068 non-storage ÷ $26,455 storage from Master Report</t>
  </si>
  <si>
    <t>Azure Cool retrieval $/GB</t>
  </si>
  <si>
    <t>A28</t>
  </si>
  <si>
    <t>$/GB</t>
  </si>
  <si>
    <t>Azure Blob Cool read charge</t>
  </si>
  <si>
    <t>Azure Cold retrieval $/GB</t>
  </si>
  <si>
    <t>A29</t>
  </si>
  <si>
    <t>Azure Blob Cold read charge</t>
  </si>
  <si>
    <t>Azure Archive rehydration $/GB</t>
  </si>
  <si>
    <t>A30</t>
  </si>
  <si>
    <t>Standard rehydration priority (~15hr wait)</t>
  </si>
  <si>
    <t>Azure egress tier1 $/GB</t>
  </si>
  <si>
    <t>A31</t>
  </si>
  <si>
    <t>0–10 TB internet egress</t>
  </si>
  <si>
    <t>Azure egress tier2 $/GB</t>
  </si>
  <si>
    <t>A32</t>
  </si>
  <si>
    <t>10–50 TB internet egress</t>
  </si>
  <si>
    <t>Azure egress tier3 $/GB</t>
  </si>
  <si>
    <t>A33</t>
  </si>
  <si>
    <t>50–150 TB internet egress</t>
  </si>
  <si>
    <t>Azure egress tier4 $/GB</t>
  </si>
  <si>
    <t>A34</t>
  </si>
  <si>
    <t>&gt;150 TB internet egress</t>
  </si>
  <si>
    <t>AWS PRICING</t>
  </si>
  <si>
    <t>S3 Standard $/GB/mo (US)</t>
  </si>
  <si>
    <t>A38</t>
  </si>
  <si>
    <t>AWS us-east-1 list price 2026</t>
  </si>
  <si>
    <t>S3 Standard $/GB/mo (EU)</t>
  </si>
  <si>
    <t>A39</t>
  </si>
  <si>
    <t>AWS EU regions list price</t>
  </si>
  <si>
    <t>S3 Standard-IA $/GB/mo (US)</t>
  </si>
  <si>
    <t>A40</t>
  </si>
  <si>
    <t>AWS Standard-IA storage rate</t>
  </si>
  <si>
    <t>S3 Standard-IA $/GB/mo (EU)</t>
  </si>
  <si>
    <t>A41</t>
  </si>
  <si>
    <t>AWS EU Standard-IA</t>
  </si>
  <si>
    <t>S3 Glacier IR $/GB/mo (US)</t>
  </si>
  <si>
    <t>A42</t>
  </si>
  <si>
    <t>Glacier Instant Retrieval</t>
  </si>
  <si>
    <t>S3 Glacier IR $/GB/mo (EU)</t>
  </si>
  <si>
    <t>A43</t>
  </si>
  <si>
    <t>Glacier IR EU</t>
  </si>
  <si>
    <t>S3 Glacier Deep Archive $/GB/mo (US)</t>
  </si>
  <si>
    <t>A44</t>
  </si>
  <si>
    <t>Glacier Deep Archive (cheapest tier)</t>
  </si>
  <si>
    <t>S3 Glacier Deep Archive $/GB/mo (EU)</t>
  </si>
  <si>
    <t>A45</t>
  </si>
  <si>
    <t>Glacier Deep Archive EU</t>
  </si>
  <si>
    <t>S3 Standard PUT $/1K requests</t>
  </si>
  <si>
    <t>A46</t>
  </si>
  <si>
    <t>$/1K</t>
  </si>
  <si>
    <t>PUT/COPY/POST/LIST Standard</t>
  </si>
  <si>
    <t>S3 Standard-IA PUT $/1K requests</t>
  </si>
  <si>
    <t>A47</t>
  </si>
  <si>
    <t>IA has higher PUT rate</t>
  </si>
  <si>
    <t>S3 Glacier Deep Archive PUT $/1K</t>
  </si>
  <si>
    <t>A48</t>
  </si>
  <si>
    <t>10× Standard — file size matters</t>
  </si>
  <si>
    <t>S3 API non-storage overhead %</t>
  </si>
  <si>
    <t>A49</t>
  </si>
  <si>
    <t>Estimated ongoing API/request costs as % of storage (conservative)</t>
  </si>
  <si>
    <t>Glacier Deep Archive retrieval $/GB</t>
  </si>
  <si>
    <t>A50</t>
  </si>
  <si>
    <t>Data retrieval fee from Deep Archive</t>
  </si>
  <si>
    <t>S3 egress to internet $/GB (first 10TB)</t>
  </si>
  <si>
    <t>A51</t>
  </si>
  <si>
    <t>S3 outbound data transfer</t>
  </si>
  <si>
    <t>Storage Gateway Hardware Appliance (amortised 36mo) $/mo/site</t>
  </si>
  <si>
    <t>A52</t>
  </si>
  <si>
    <t>$/mo</t>
  </si>
  <si>
    <t>AWS Storage Gateway Hardware Appliance ~$16,920 list price ÷ 36 months; no EC2, no EBS</t>
  </si>
  <si>
    <t>S3 Transfer Acceleration $/mo (set 0 if not used)</t>
  </si>
  <si>
    <t>A53</t>
  </si>
  <si>
    <t>Transfer Acceleration adds speed for global uploads; set $0 for archive-only workload</t>
  </si>
  <si>
    <t>Number of gateway sites (non-discovery only: US-East, US-West, EU-NL)</t>
  </si>
  <si>
    <t>A54</t>
  </si>
  <si>
    <t>sites</t>
  </si>
  <si>
    <t>5 distinct sites: US-East, US-West, UK, NL/EU, DE</t>
  </si>
  <si>
    <t>CloudWatch $/mo</t>
  </si>
  <si>
    <t>A55</t>
  </si>
  <si>
    <t>Dashboards + custom metrics + alarms + log groups</t>
  </si>
  <si>
    <t>KMS key $/mo per key</t>
  </si>
  <si>
    <t>A56</t>
  </si>
  <si>
    <t>AWS KMS CMK; 1 per region = 5 keys</t>
  </si>
  <si>
    <t>Number of KMS keys</t>
  </si>
  <si>
    <t>A57</t>
  </si>
  <si>
    <t>keys</t>
  </si>
  <si>
    <t>One per AWS region</t>
  </si>
  <si>
    <t>SNS alerts $/mo</t>
  </si>
  <si>
    <t>A58</t>
  </si>
  <si>
    <t>Notification topics for cost/health alerts</t>
  </si>
  <si>
    <t>AWS Config $/mo</t>
  </si>
  <si>
    <t>A59</t>
  </si>
  <si>
    <t>Compliance rule evaluation</t>
  </si>
  <si>
    <t>S3 ongoing API operations $/mo</t>
  </si>
  <si>
    <t>A60</t>
  </si>
  <si>
    <t>PUT new archive data + GET requests monthly</t>
  </si>
  <si>
    <t>Glacier retrieval $/mo (est.)</t>
  </si>
  <si>
    <t>A61</t>
  </si>
  <si>
    <t>0.5% of 862 TiB archive retrieved monthly × $0.02/GB</t>
  </si>
  <si>
    <t>S3 egress internet $/mo (est.)</t>
  </si>
  <si>
    <t>A62</t>
  </si>
  <si>
    <t>~10% of retrieved data goes to internet</t>
  </si>
  <si>
    <t>AWS DataSync $/GB scanned</t>
  </si>
  <si>
    <t>A63</t>
  </si>
  <si>
    <t>One-time migration only</t>
  </si>
  <si>
    <t>Annual data growth rate</t>
  </si>
  <si>
    <t>A64</t>
  </si>
  <si>
    <t>5% YoY assumption for financial model</t>
  </si>
  <si>
    <t>HubStor monthly cost — NON-DISCOVERY sites only (Safety Assessment, Microbial, RMS)</t>
  </si>
  <si>
    <t>A65</t>
  </si>
  <si>
    <t>Actuals from Master Report — storage + non-storage</t>
  </si>
  <si>
    <t>HubStor monthly cost — DISCOVERY sites only (handed off Jan–Jun 2027)</t>
  </si>
  <si>
    <t>A66</t>
  </si>
  <si>
    <t>Discovery sites: FRI/CRP/HAR/PTH/LEI/GRO/KUO/SZG. This cost drops to $0 by Jul 2027 as each site is handed off to new company Jan–Jun 2027.</t>
  </si>
  <si>
    <t>Azure Backup &amp; DataBox monthly charge</t>
  </si>
  <si>
    <t>Additional Azure charge for Backup services + DataBox. Ceases from Jan 2027 when Azure fully decommissioned.</t>
  </si>
  <si>
    <t>TOTAL current cost (Non-Disc HubStor + Backup/DataBox only — excl. Discovery which is being handed off)</t>
  </si>
  <si>
    <t>A67</t>
  </si>
  <si>
    <t>HubStor ($35,523) + Azure Backup/DataBox ($3,000) = true total current monthly cost baseline</t>
  </si>
  <si>
    <t>EU non-discovery GiB — SA sites only (EDI+FRE+EVR+HER) for egress calc</t>
  </si>
  <si>
    <t>A69</t>
  </si>
  <si>
    <t>EDI-SA(525.59) + FRE-SA(7100.08) + EVR-SA(5.62) + HER-SA(17993.07) = 25,624 GiB. EU Discovery data handled separately.</t>
  </si>
  <si>
    <t>EU non-discovery GB (GiB × 1.074, for egress cost calculation)</t>
  </si>
  <si>
    <t>A70</t>
  </si>
  <si>
    <t>HUBSTOR → AWS S3 COMPLETE MIGRATION  |  BUSINESS CASE &amp; COST ANALYSIS</t>
  </si>
  <si>
    <t>Prepared for Internal Review  |  Based on HubStor Master Report v5  |  Full HubStor + Azure Blob replacement</t>
  </si>
  <si>
    <t>FULL CURRENT COST
(HubStor all sites + Backup/DataBox)</t>
  </si>
  <si>
    <t>AWS TOTAL MONTHLY
(non-discovery S3 only — from Jul 2027)</t>
  </si>
  <si>
    <t>FULL STEADY-STATE SAVING
(from Jul 2027 — all migration complete)</t>
  </si>
  <si>
    <t>TOTAL MIGRATION COST
(Phase 1 non-disc + Phase 2 discovery)</t>
  </si>
  <si>
    <t>📌  ARCHITECTURE CHANGE: Discovery sites (746,609 GiB, 70% of data) will NOT be stored in AWS S3. They are handed off to a new company environment Jan–Jun 2027. AWS S3 stores non-discovery data only (320,095 GiB). Full saving of $36,232/mo realised from Jul 2027 once all HubStor and Azure charges cease.</t>
  </si>
  <si>
    <t>CURRENT HUBSTOR COSTS BY AZURE REGION (Source: HubStor Master Report v5)</t>
  </si>
  <si>
    <t>Azure Region</t>
  </si>
  <si>
    <t>Azure Location</t>
  </si>
  <si>
    <t>Total Usage (GiB)</t>
  </si>
  <si>
    <t>Formula: GiB</t>
  </si>
  <si>
    <t>Storage Cost/mo ($)</t>
  </si>
  <si>
    <t>Non-Storage/HubStor Fee ($)</t>
  </si>
  <si>
    <t>Total Cost/mo ($)</t>
  </si>
  <si>
    <t>Formula: Total</t>
  </si>
  <si>
    <t>EastUS2</t>
  </si>
  <si>
    <t>Virginia, USA</t>
  </si>
  <si>
    <t>Hardcoded from Master Report</t>
  </si>
  <si>
    <t>Storage + HubStor platform/non-storage fee</t>
  </si>
  <si>
    <t>GermanyWestCentral</t>
  </si>
  <si>
    <t>Frankfurt, Germany</t>
  </si>
  <si>
    <t>UKSouth</t>
  </si>
  <si>
    <t>London, UK</t>
  </si>
  <si>
    <t>WestEurope</t>
  </si>
  <si>
    <t>Amsterdam, Netherlands</t>
  </si>
  <si>
    <t>WestUS2</t>
  </si>
  <si>
    <t>Washington, USA</t>
  </si>
  <si>
    <t>GRAND TOTAL</t>
  </si>
  <si>
    <t>All 5 Azure Regions</t>
  </si>
  <si>
    <t>SUM(C10:C14) — sum all regions</t>
  </si>
  <si>
    <t>Storage Cost + Non-Storage/HubStor platform fee</t>
  </si>
  <si>
    <t>STORAGE BY AZURE TIER (all values from Assumptions sheet — change inputs there)</t>
  </si>
  <si>
    <t>Azure Tier</t>
  </si>
  <si>
    <t>Equiv. AWS Class</t>
  </si>
  <si>
    <t>Usage (GiB)</t>
  </si>
  <si>
    <t>Usage (TiB)</t>
  </si>
  <si>
    <t>% of Total</t>
  </si>
  <si>
    <t>Azure $/GB/mo</t>
  </si>
  <si>
    <t>Standard</t>
  </si>
  <si>
    <t>S3 Standard</t>
  </si>
  <si>
    <t>Hot</t>
  </si>
  <si>
    <t>Cool</t>
  </si>
  <si>
    <t>S3 Standard-IA</t>
  </si>
  <si>
    <t>Cold</t>
  </si>
  <si>
    <t>S3 Glacier IR</t>
  </si>
  <si>
    <t>Archive</t>
  </si>
  <si>
    <t>S3 Deep Archive</t>
  </si>
  <si>
    <t>TOTAL</t>
  </si>
  <si>
    <t>AZURE HUBSTOR vs AWS S3 — COMPLETE COST COMPARISON (Storage + All Infrastructure)</t>
  </si>
  <si>
    <t>All values linked to Assumptions sheet | Black = formula | Blue = hardcoded input | Green = cross-sheet link | Yellow = input cell</t>
  </si>
  <si>
    <t>TIER PRICING ASSUMPTIONS (all rates from Assumptions sheet — edit there)</t>
  </si>
  <si>
    <t>Storage Tier</t>
  </si>
  <si>
    <t>Formula</t>
  </si>
  <si>
    <t>AWS Class</t>
  </si>
  <si>
    <t>AWS $/GB/mo (blended)</t>
  </si>
  <si>
    <t>HubStor Mgmt %</t>
  </si>
  <si>
    <t>Min Duration</t>
  </si>
  <si>
    <t>Notes</t>
  </si>
  <si>
    <t>Standard/Hot</t>
  </si>
  <si>
    <t>(Assumptions!C36+Assumptions!C37)/2 — avg US+EU</t>
  </si>
  <si>
    <t>None</t>
  </si>
  <si>
    <t>Active files; low % of total</t>
  </si>
  <si>
    <t>30 days</t>
  </si>
  <si>
    <t>Retrieval fee applies</t>
  </si>
  <si>
    <t>90 days</t>
  </si>
  <si>
    <t>Millisecond retrieval</t>
  </si>
  <si>
    <t>180 days</t>
  </si>
  <si>
    <t>Dominant tier — 83% of data</t>
  </si>
  <si>
    <t>⚠  NOTE: AWS S3 storage costs below reflect NON-DISCOVERY sites only (Safety Assessment, Microbial, RMS = 320,095 GiB). Discovery sites (746,609 GiB) are NOT stored in AWS S3 — they are handed off to the new company Jan–Jun 2027. The HubStor baseline in the summary section reflects the full current cost ($38,523/mo) as the comparison baseline.</t>
  </si>
  <si>
    <t>Tier</t>
  </si>
  <si>
    <t>Formula: TiB</t>
  </si>
  <si>
    <t>Azure Storage $/mo</t>
  </si>
  <si>
    <t>HubStor Mgmt $/mo</t>
  </si>
  <si>
    <t>Azure Total $/mo</t>
  </si>
  <si>
    <t>AWS Storage $/mo</t>
  </si>
  <si>
    <t>Monthly Saving $</t>
  </si>
  <si>
    <t>B13÷1024</t>
  </si>
  <si>
    <t>B13×Assumptions CC23×1.074 (GiB→GB×$/GB)</t>
  </si>
  <si>
    <t>azure storage × HubStor mgmt%</t>
  </si>
  <si>
    <t>azure storage + hubstor mgmt fee</t>
  </si>
  <si>
    <t>B13×1.074×Blended Standard/Hot AWS price</t>
  </si>
  <si>
    <t>Azure Total - AWS Storage = monthly saving</t>
  </si>
  <si>
    <t>B14÷1024</t>
  </si>
  <si>
    <t>B14×Assumptions CC24×1.074 (GiB→GB×$/GB)</t>
  </si>
  <si>
    <t>B14×1.074×Standard-IA blended</t>
  </si>
  <si>
    <t>B15÷1024</t>
  </si>
  <si>
    <t>B15×Assumptions CC25×1.074 (GiB→GB×$/GB)</t>
  </si>
  <si>
    <t>B15×1.074×Glacier IR blended</t>
  </si>
  <si>
    <t>B16÷1024</t>
  </si>
  <si>
    <t>B16×Assumptions CC26×1.074 (GiB→GB×$/GB)</t>
  </si>
  <si>
    <t>B16×1.074×Glacier Deep Archive blended</t>
  </si>
  <si>
    <t>STORAGE SUBTOTAL</t>
  </si>
  <si>
    <t>AWS INFRASTRUCTURE COSTS — Storage Gateway Appliance Architecture (On-prem → Appliance → S3)</t>
  </si>
  <si>
    <t>Resource</t>
  </si>
  <si>
    <t>Qty</t>
  </si>
  <si>
    <t>Unit Cost /mo</t>
  </si>
  <si>
    <t>Monthly ($)</t>
  </si>
  <si>
    <t>Annual ($)</t>
  </si>
  <si>
    <t>Storage Gateway Hardware Appliance (5 sites × amortised)</t>
  </si>
  <si>
    <t>AWS-sold hardware appliance ~$16,920/unit ÷ 36mo = $470/site/mo. No EC2, no EBS needed.</t>
  </si>
  <si>
    <t>S3 Transfer Acceleration (optional — set $0 for archive)</t>
  </si>
  <si>
    <t>1</t>
  </si>
  <si>
    <t>Only needed if upload speed over long-distance WAN is critical. Archive workloads: $0.</t>
  </si>
  <si>
    <t>CloudWatch (monitoring, dashboards, alarms, logs)</t>
  </si>
  <si>
    <t>Dashboards + custom metrics + CloudWatch alarms + log ingestion</t>
  </si>
  <si>
    <t>AWS KMS — Customer Managed Keys (1 per region × 5)</t>
  </si>
  <si>
    <t>$1/key/mo × 5 regions = $5/mo. Encrypts S3 objects and Gateway cache.</t>
  </si>
  <si>
    <t>SNS — cost &amp; health alert notifications</t>
  </si>
  <si>
    <t>Alert topics for budget anomalies and Gateway connectivity issues</t>
  </si>
  <si>
    <t>AWS Config — compliance rule evaluation</t>
  </si>
  <si>
    <t>GxP/regulatory config rules on S3 buckets. Object Lock compliance checks.</t>
  </si>
  <si>
    <t>S3 API Operations — ongoing PUTs/GETs (new archive writes)</t>
  </si>
  <si>
    <t>Estimated monthly API cost for new data written from all 5 gateway sites</t>
  </si>
  <si>
    <t>Glacier Deep Archive retrieval fees (ongoing, est. 0.5%/mo)</t>
  </si>
  <si>
    <t>0.5% of 862 TiB retrieved/mo × $0.02/GB restore fee</t>
  </si>
  <si>
    <t>S3 egress to internet (end-user retrieval, est.)</t>
  </si>
  <si>
    <t>~10% of retrieved data sent externally. Rest served within AWS/Gateway.</t>
  </si>
  <si>
    <t>INFRASTRUCTURE SUBTOTAL</t>
  </si>
  <si>
    <t>TOTAL COST SUMMARY — HUBSTOR (CURRENT) vs AWS S3 COMPLETE REPLACEMENT</t>
  </si>
  <si>
    <t>Line Item</t>
  </si>
  <si>
    <t>Saving vs HubStor</t>
  </si>
  <si>
    <t>% Reduction</t>
  </si>
  <si>
    <t>HubStor + Azure Blob Storage (from Master Report)</t>
  </si>
  <si>
    <t>$0</t>
  </si>
  <si>
    <t>—</t>
  </si>
  <si>
    <t>Full HubStor from Master Report v5: non-disc $10,716 + discovery $24,807 = $35,523/mo total</t>
  </si>
  <si>
    <t>Azure Backup &amp; DataBox (additional charge)</t>
  </si>
  <si>
    <t>Backup services + DataBox ($3,000/mo). Ceases Dec 2026 when Azure fully decommissioned.</t>
  </si>
  <si>
    <t>TOTAL CURRENT MONTHLY COST (ALL-IN)</t>
  </si>
  <si>
    <t>Baseline for all saving calculations</t>
  </si>
  <si>
    <t>HubStor + Azure Blob + Backup/DataBox — this is what we actually pay today</t>
  </si>
  <si>
    <t>AWS S3 Storage Cost (all 5 tiers)</t>
  </si>
  <si>
    <t>Non-disc S3 storage only (320,095 GiB). Discovery data NOT in S3.</t>
  </si>
  <si>
    <t>AWS Infrastructure (Gateway appliance + ops)</t>
  </si>
  <si>
    <t>3 gateway appliances: US-East, US-West, EU-NL (non-disc sites only). No gateways for discovery sites.</t>
  </si>
  <si>
    <t>AWS TOTAL (Storage + Infrastructure)</t>
  </si>
  <si>
    <t>Full saving realised from Jul 2027 when HubStor+Azure=$0 and only AWS non-disc remains.</t>
  </si>
  <si>
    <t>ONE-TIME MIGRATION COSTS — COMPLETE ITEMIZED BREAKDOWN (All formulas shown)</t>
  </si>
  <si>
    <t>All four cost components + AWS setup costs | Black = formula | Blue/Yellow = input | Route: Azure → Public internet → S3 (NOT via VPN)</t>
  </si>
  <si>
    <t>COMPONENT 1 — AZURE RETRIEVAL CHARGES (reading data out of Azure Blob before egress)</t>
  </si>
  <si>
    <t>ℹ  Standard/Hot: no retrieval fee. Cool=$0.01/GB. Cold=$0.03/GB. Archive=$0.022/GB (Standard rehydration, ~15hr wait — factor into timeline)</t>
  </si>
  <si>
    <t>GiB (input)</t>
  </si>
  <si>
    <t>GB (decimal)</t>
  </si>
  <si>
    <t>Formula: GB</t>
  </si>
  <si>
    <t>Retrieval $/GB</t>
  </si>
  <si>
    <t>Retrieval Cost ($)</t>
  </si>
  <si>
    <t>B7×Assumptions!C11 (GiB→GB)</t>
  </si>
  <si>
    <t>No charge — Standard tier: read freely at no cost</t>
  </si>
  <si>
    <t>No retrieval fee</t>
  </si>
  <si>
    <t>B8×Assumptions!C11 (GiB→GB)</t>
  </si>
  <si>
    <t>No charge — Hot tier: read freely at no cost</t>
  </si>
  <si>
    <t>B9×Assumptions!C11 (GiB→GB)</t>
  </si>
  <si>
    <t>C9×E9 (GB × retrieval rate)</t>
  </si>
  <si>
    <t>Per-GB read charge</t>
  </si>
  <si>
    <t>B10×Assumptions!C11 (GiB→GB)</t>
  </si>
  <si>
    <t>C10×E10 (GB × retrieval rate)</t>
  </si>
  <si>
    <t>B11×Assumptions!C11 (GiB→GB)</t>
  </si>
  <si>
    <t>C11×E11 (GB × retrieval rate)</t>
  </si>
  <si>
    <t>Standard rehydration rate (15hr per batch)</t>
  </si>
  <si>
    <t>SUBTOTAL — AZURE RETRIEVAL</t>
  </si>
  <si>
    <t>SUM(G7:G11) — sum all five tiers</t>
  </si>
  <si>
    <t>COMPONENT 2 — AZURE EGRESS CHARGES (direct to S3 public endpoint — NOT via VPN)</t>
  </si>
  <si>
    <t>ℹ  VPN routing adds AWS transit/inspection costs. Use S3 public endpoints. Azure charges tiered egress: rates drop for higher volumes. First 100GB free.</t>
  </si>
  <si>
    <t>Region Group</t>
  </si>
  <si>
    <t>Volume (GB)</t>
  </si>
  <si>
    <t>Formula: Volume</t>
  </si>
  <si>
    <t>Tier1 $/GB ≤10TB</t>
  </si>
  <si>
    <t>Tier2 $/GB 10-50TB</t>
  </si>
  <si>
    <t>Tier3 $/GB 50-150TB</t>
  </si>
  <si>
    <t>Tier4 $/GB &gt;150TB</t>
  </si>
  <si>
    <t>Egress Cost ($)</t>
  </si>
  <si>
    <t>US Regions — Non-Discovery sites only (EastUS2 + WestUS2 Safety Assessment, Microbial, RMS)</t>
  </si>
  <si>
    <t>Assumptions!C18 — US GiB × 1.074</t>
  </si>
  <si>
    <t>Non-disc US egress only. Discovery EU data handled separately in Phase 2.</t>
  </si>
  <si>
    <t>Virginia→us-east-1, Washington→us-west-2</t>
  </si>
  <si>
    <t>EU Regions — Non-Discovery Safety Assessment only (EDI-SA, FRE-SA, EVR-SA, HER-SA)</t>
  </si>
  <si>
    <t>Assumptions!C70 — EU non-disc SA only (EDI+FRE+EVR+HER = 25,624 GiB × 1.074 = 27,520 GB)</t>
  </si>
  <si>
    <t>EU non-disc SA sites only. Discovery EU sites (CRP/HAR/PTH/LEI/GRO/KUO/SZG) handled separately.</t>
  </si>
  <si>
    <t>UK→eu-west-2, NL→eu-west-1, DE→eu-central-1</t>
  </si>
  <si>
    <t>SUBTOTAL — AZURE EGRESS</t>
  </si>
  <si>
    <t>SUM(H17:H18) — sum US+EU egress</t>
  </si>
  <si>
    <t>COMPONENT 3 — AWS S3 PUT REQUEST CHARGES (ingress to AWS is free; API calls are not)</t>
  </si>
  <si>
    <t>ℹ  PUT rate varies by storage class. Glacier Deep Archive = $0.05/1K (10× Standard). Average file size is critical — adjust yellow cells. Object count = GiB×1024÷avg_MB.</t>
  </si>
  <si>
    <t>Storage Class</t>
  </si>
  <si>
    <t>Volume (GiB)</t>
  </si>
  <si>
    <t>Avg File MB ← INPUT</t>
  </si>
  <si>
    <t>Object Count</t>
  </si>
  <si>
    <t>Formula: Object Count</t>
  </si>
  <si>
    <t>PUT Rate ($/1K)</t>
  </si>
  <si>
    <t>PUT Cost ($)</t>
  </si>
  <si>
    <t>S3 Standard (Std+Hot)</t>
  </si>
  <si>
    <t>(B24 gib × 1024 MB/GiB) ÷ C24 (avg MB per file))</t>
  </si>
  <si>
    <t>(object count ÷ 1000) × PUT rate)</t>
  </si>
  <si>
    <t>Low avg size — active files</t>
  </si>
  <si>
    <t>S3 Standard-IA (Cool)</t>
  </si>
  <si>
    <t>(B25 gib × 1024 MB/GiB) ÷ C25 (avg MB per file))</t>
  </si>
  <si>
    <t>$0.01/1K — IA PUT rate higher</t>
  </si>
  <si>
    <t>S3 Glacier IR (Cold)</t>
  </si>
  <si>
    <t>(B26 gib × 1024 MB/GiB) ÷ C26 (avg MB per file))</t>
  </si>
  <si>
    <t>Standard PUT rate</t>
  </si>
  <si>
    <t>S3 Glacier Deep Archive</t>
  </si>
  <si>
    <t>(B27 gib × 1024 MB/GiB) ÷ C27 (avg MB per file))</t>
  </si>
  <si>
    <t>⚠ $0.05/1K — 10× Standard; file size critical</t>
  </si>
  <si>
    <t>SUBTOTAL — S3 PUT REQUESTS</t>
  </si>
  <si>
    <t>SUM(H24:H27) — sum all PUT tiers</t>
  </si>
  <si>
    <t>COMPONENT 4 — POST-INGESTION LIFECYCLE TRANSITION CHARGES</t>
  </si>
  <si>
    <t>ℹ  BEST PRACTICE: PUT directly into target storage class using --storage-class flag in DataSync. This makes transition cost $0. Option B shown for reference only.</t>
  </si>
  <si>
    <t>Option</t>
  </si>
  <si>
    <t>Target Class</t>
  </si>
  <si>
    <t>Transition $/1K</t>
  </si>
  <si>
    <t>Transition Cost ($)</t>
  </si>
  <si>
    <t>Recommendation</t>
  </si>
  <si>
    <t>OPTION A (recommended): PUT directly to target class</t>
  </si>
  <si>
    <t>All classes</t>
  </si>
  <si>
    <t>Sum of all object counts from PUT section</t>
  </si>
  <si>
    <t>0 — PUT directly into target class: no lifecycle transition</t>
  </si>
  <si>
    <t>✅ Use --storage-class flag per DataSync task. Zero cost.</t>
  </si>
  <si>
    <t>OPTION B: Land in Standard, transition to Standard-IA</t>
  </si>
  <si>
    <t>Standard-IA</t>
  </si>
  <si>
    <t>Cool object count from PUT section row D</t>
  </si>
  <si>
    <t>(object count ÷ 1000) × transition rate)</t>
  </si>
  <si>
    <t>Avoid — use Option A above</t>
  </si>
  <si>
    <t>OPTION B: Land in Standard, transition to Deep Archive</t>
  </si>
  <si>
    <t>Glacier Deep Archive</t>
  </si>
  <si>
    <t>Archive object count from PUT section row D</t>
  </si>
  <si>
    <t>⚠ Most expensive — avoid for 882 TiB archive data</t>
  </si>
  <si>
    <t>COMPONENT 5 — AWS ONE-TIME SETUP &amp; MIGRATION EXECUTION COSTS (complete HubStor replacement)</t>
  </si>
  <si>
    <t>Item</t>
  </si>
  <si>
    <t>Formula: Qty</t>
  </si>
  <si>
    <t>Unit Cost ($)</t>
  </si>
  <si>
    <t>Total Cost ($)</t>
  </si>
  <si>
    <t>AWS DataSync — data scanning/migration fee</t>
  </si>
  <si>
    <t>Non-disc sites only (320,095 GiB × 1.074 = 343,782 GB)</t>
  </si>
  <si>
    <t>Assumptions!C63 ($0.0125/GB scanned)</t>
  </si>
  <si>
    <t>qty × Unit cost</t>
  </si>
  <si>
    <t>One-time migration tool — $0.0125/GB for all data scanned</t>
  </si>
  <si>
    <t>Storage Gateway VM setup &amp; config (3 non-disc sites: US-East, US-West, EU-NL)</t>
  </si>
  <si>
    <t>Assumptions!C54 (number of sites)</t>
  </si>
  <si>
    <t>Estimated IT labor per site (internal cost)</t>
  </si>
  <si>
    <t>Install Gateway VM, configure NFS/SMB shares, test connectivity</t>
  </si>
  <si>
    <t>S3 bucket creation, lifecycle policies, tagging</t>
  </si>
  <si>
    <t>Fixed</t>
  </si>
  <si>
    <t>One-time AWS console/CLI setup</t>
  </si>
  <si>
    <t>5 buckets × 5 regions, lifecycle rules, Object Lock config</t>
  </si>
  <si>
    <t>IAM roles, policies, KMS key setup</t>
  </si>
  <si>
    <t>One-time security config</t>
  </si>
  <si>
    <t>Gateway IAM role, DataSync role, bucket policies, KMS CMKs</t>
  </si>
  <si>
    <t>Testing, validation &amp; UAT</t>
  </si>
  <si>
    <t>Internal resource time estimate</t>
  </si>
  <si>
    <t>Data integrity checks, retrieval tests, connector smoke tests</t>
  </si>
  <si>
    <t>HubStor subscription decommission &amp; contract mgmt</t>
  </si>
  <si>
    <t>Legal/admin for contract termination</t>
  </si>
  <si>
    <t>Notice period management, final data verification, sign-off</t>
  </si>
  <si>
    <t>SUBTOTAL — AWS SETUP COSTS</t>
  </si>
  <si>
    <t>SUM(F40:F45) — sum all setup costs</t>
  </si>
  <si>
    <t>TOTAL ONE-TIME MIGRATION COST — GRAND TOTAL SUMMARY</t>
  </si>
  <si>
    <t>Amount ($)</t>
  </si>
  <si>
    <t>1. Azure Retrieval Charges</t>
  </si>
  <si>
    <t>G12 (Component 1 subtotal)</t>
  </si>
  <si>
    <t>B50÷Grand Total</t>
  </si>
  <si>
    <t>2. Azure Egress Charges</t>
  </si>
  <si>
    <t>H19 (Component 2 subtotal)</t>
  </si>
  <si>
    <t>B51÷Grand Total</t>
  </si>
  <si>
    <t>3. AWS S3 PUT Requests</t>
  </si>
  <si>
    <t>H28 (Component 3 subtotal)</t>
  </si>
  <si>
    <t>B52÷Grand Total</t>
  </si>
  <si>
    <t>4. Lifecycle Transitions</t>
  </si>
  <si>
    <t>G33 — Component 4 Option A (=$0 if PUT directly)</t>
  </si>
  <si>
    <t>B53÷Grand Total</t>
  </si>
  <si>
    <t>5. AWS Setup &amp; Execution Costs</t>
  </si>
  <si>
    <t>F46 — Component 5 subtotal</t>
  </si>
  <si>
    <t>B54÷Grand Total</t>
  </si>
  <si>
    <t>Contingency (10%)</t>
  </si>
  <si>
    <t>SUM(B50:B54)×10% contingency buffer</t>
  </si>
  <si>
    <t>B55÷Grand Total</t>
  </si>
  <si>
    <t>★  GRAND TOTAL — ONE-TIME MIGRATION COST</t>
  </si>
  <si>
    <t>SUM(B50:B55) — all five components + contingency</t>
  </si>
  <si>
    <t>ROI &amp; PAYBACK ANALYSIS</t>
  </si>
  <si>
    <t>Metric</t>
  </si>
  <si>
    <t>Total One-Time Migration Cost</t>
  </si>
  <si>
    <t>Monthly Saving — full baseline vs AWS (when all migration complete, Jul 2027+)</t>
  </si>
  <si>
    <t>(Assumptions!C65+C66+C67 = $38,523 full baseline) minus Cost Comparison!B39 (AWS $2,291) = $36,232/mo saving</t>
  </si>
  <si>
    <t>Payback Period (months)</t>
  </si>
  <si>
    <t>(Phase1 mig B60 + Phase1 AWS overlap D18:D23 + Phase2 disc mig F30:F35) ÷ monthly saving B61</t>
  </si>
  <si>
    <t>Months from Jul 2027 (when all migration complete)</t>
  </si>
  <si>
    <t>H2 2027 Net Saving (6mo saving Jul–Dec 2027 minus Phase 1 migration cost)</t>
  </si>
  <si>
    <t>(monthly saving × 6 months) - Phase 1 migration cost only</t>
  </si>
  <si>
    <t>4-Year Net Saving (Jul 2027–Dec 2030, 42 months, after ALL migration costs)</t>
  </si>
  <si>
    <t>(saving × 42mo) − Phase1 mig − Phase2 disc mig = total net benefit through Dec 2030</t>
  </si>
  <si>
    <t>DISCOVERY SITE HAND-OFF COSTS (Phase 2: Jan–Jun 2027)  |  Our share = Azure extraction costs only  |  New company bears receiving/storage</t>
  </si>
  <si>
    <t>Discovery Site Group</t>
  </si>
  <si>
    <t>Azure Retrieval ($)</t>
  </si>
  <si>
    <t>Azure Egress ($)</t>
  </si>
  <si>
    <t>Azure DataSync ($)</t>
  </si>
  <si>
    <t>Subtotal ($)</t>
  </si>
  <si>
    <t>Contingency 10%</t>
  </si>
  <si>
    <t>Total our cost ($)</t>
  </si>
  <si>
    <t>Hand-off Month</t>
  </si>
  <si>
    <t>CRP-EarlyDiscovery (UKSouth)</t>
  </si>
  <si>
    <t>Jan 2027</t>
  </si>
  <si>
    <t>LEI-EarlyDiscovery (WestEurope)</t>
  </si>
  <si>
    <t>Feb 2027</t>
  </si>
  <si>
    <t>KUO-Discovery (WestEurope)</t>
  </si>
  <si>
    <t>Mar 2027</t>
  </si>
  <si>
    <t>FRI-Discovery (GermanyWestCentral)</t>
  </si>
  <si>
    <t>PTH-Discovery (UKSouth)</t>
  </si>
  <si>
    <t>Apr 2027</t>
  </si>
  <si>
    <t>HAR-EarlyDiscovery (UKSouth)</t>
  </si>
  <si>
    <t>GRO-Discovery (WestEurope)</t>
  </si>
  <si>
    <t>May 2027</t>
  </si>
  <si>
    <t>SZG-Discovery (WestEurope)</t>
  </si>
  <si>
    <t>TOTAL DISCOVERY HAND-OFF COST (our share)</t>
  </si>
  <si>
    <t>NOTE: These are CRL's costs only (Azure-side extraction). The mechanism by which the new company will receive the data has not been determined. If Azure Data Box, dedicated link, or Azure-to-Azure copy is used, additional costs may apply — this is the new company's responsibility to fund.</t>
  </si>
  <si>
    <t>RISKS &amp; ASSUMPTIONS — COMPLETE HUBSTOR + AZURE BLOB REPLACEMENT WITH AWS S3</t>
  </si>
  <si>
    <t>Must be reviewed and signed off before project commencement | Owner = Cloud Architecture Team</t>
  </si>
  <si>
    <t>KEY ASSUMPTIONS</t>
  </si>
  <si>
    <t>Category</t>
  </si>
  <si>
    <t>Basis / Source</t>
  </si>
  <si>
    <t>If Wrong — Impact</t>
  </si>
  <si>
    <t>Owner</t>
  </si>
  <si>
    <t>Status</t>
  </si>
  <si>
    <t>Pricing</t>
  </si>
  <si>
    <t>AWS list pricing held flat for 3-year model</t>
  </si>
  <si>
    <t>AWS published list rates March 2026</t>
  </si>
  <si>
    <t>Costs could rise — actual savings may be lower</t>
  </si>
  <si>
    <t>Cloud Arch</t>
  </si>
  <si>
    <t>Confirmed</t>
  </si>
  <si>
    <t>HubStor non-storage fee = 34.3% of storage cost (=$9,068÷$26,455)</t>
  </si>
  <si>
    <t>Ratio may vary monthly — directionally correct</t>
  </si>
  <si>
    <t>Finance</t>
  </si>
  <si>
    <t>Azure egress billed at public internet rates (not VPN)</t>
  </si>
  <si>
    <t>Architecture decision — direct to S3 public endpoint</t>
  </si>
  <si>
    <t>VPN routing adds AWS transit cost ($0.02/GB) — adds ~$18K</t>
  </si>
  <si>
    <t>Decision required</t>
  </si>
  <si>
    <t>Data</t>
  </si>
  <si>
    <t>All 1,041.7 TiB migrated to AWS (no data deleted pre-migration)</t>
  </si>
  <si>
    <t>HubStor Master Report v5 — all stors migrated</t>
  </si>
  <si>
    <t>Smaller dataset = lower migration cost; larger = higher</t>
  </si>
  <si>
    <t>Programme Mgr</t>
  </si>
  <si>
    <t>TBC</t>
  </si>
  <si>
    <t>Archive avg file size = 500MB (PUT cost sensitivity)</t>
  </si>
  <si>
    <t>Assumed; actual could range 1MB-2GB (see sensitivity table)</t>
  </si>
  <si>
    <t>At 1MB avg: PUT cost rises by $45K; at 100MB: negligible</t>
  </si>
  <si>
    <t>Data Team</t>
  </si>
  <si>
    <t>Verify before migration</t>
  </si>
  <si>
    <t>5% annual data growth rate</t>
  </si>
  <si>
    <t>Conservative industry estimate for scientific archives</t>
  </si>
  <si>
    <t>Higher growth = higher AWS costs but also higher HubStor costs</t>
  </si>
  <si>
    <t>Architecture</t>
  </si>
  <si>
    <t>5 Storage Gateway VMs required (1 per major site)</t>
  </si>
  <si>
    <t>Site topology from Connector Details sheet — MWN, WLM, RNO, UK, EU</t>
  </si>
  <si>
    <t>More sites = higher EC2/EBS cost; fewer = simpler but single-site risk</t>
  </si>
  <si>
    <t>Review with sites</t>
  </si>
  <si>
    <t>File Gateway (NFS/SMB) replaces all HubStor connectors</t>
  </si>
  <si>
    <t>HubStor connector list has 17+ connectors — all routed via Gateway</t>
  </si>
  <si>
    <t>Connector incompatibility = custom integration effort</t>
  </si>
  <si>
    <t>App Teams</t>
  </si>
  <si>
    <t>Verify each connector</t>
  </si>
  <si>
    <t>Direct Connect NOT required — public internet sufficient</t>
  </si>
  <si>
    <t>Gateway uses HTTPS/TLS; adequate for archive workloads</t>
  </si>
  <si>
    <t>Bandwidth constraint at peak rehydration may slow retrieval</t>
  </si>
  <si>
    <t>Network Team</t>
  </si>
  <si>
    <t>Monitor in pilot</t>
  </si>
  <si>
    <t>Migration</t>
  </si>
  <si>
    <t>Archive rehydration takes 15hr per batch (Azure Standard priority)</t>
  </si>
  <si>
    <t>Azure documentation — Standard priority SLA</t>
  </si>
  <si>
    <t>Expedited priority ($0.03/GB extra) available if timeline too slow</t>
  </si>
  <si>
    <t>Plan buffer weeks 3-4</t>
  </si>
  <si>
    <t>DataSync used for US data; Rclone for EU (avoids AWS-specific tooling)</t>
  </si>
  <si>
    <t>Best practice for cross-cloud migration</t>
  </si>
  <si>
    <t>Tool failure = manual fallback; add 2-week buffer</t>
  </si>
  <si>
    <t>Migration Team</t>
  </si>
  <si>
    <t>Compliance</t>
  </si>
  <si>
    <t>S3 Object Lock (Compliance mode) used for GxP/regulated data</t>
  </si>
  <si>
    <t>GxP requirement — immutable storage for defined retention period</t>
  </si>
  <si>
    <t>Incorrect retention period = compliance violation</t>
  </si>
  <si>
    <t>QA/Regulatory</t>
  </si>
  <si>
    <t>Legal review required</t>
  </si>
  <si>
    <t>Data residency preserved — UK data stays in eu-west-2 (London)</t>
  </si>
  <si>
    <t>GDPR / UK data protection requirement</t>
  </si>
  <si>
    <t>Wrong region = regulatory breach</t>
  </si>
  <si>
    <t>Legal/Privacy</t>
  </si>
  <si>
    <t>Confirmed in architecture</t>
  </si>
  <si>
    <t>German data stays in eu-central-1 (Frankfurt)</t>
  </si>
  <si>
    <t>GDPR German data sovereignty requirement</t>
  </si>
  <si>
    <t>Commercial</t>
  </si>
  <si>
    <t>HubStor contract allows termination with 30-day notice</t>
  </si>
  <si>
    <t>Assumed standard SaaS terms — verify contract</t>
  </si>
  <si>
    <t>Longer notice = overlap billing period; add to migration cost</t>
  </si>
  <si>
    <t>Legal</t>
  </si>
  <si>
    <t>Verify contract ASAP</t>
  </si>
  <si>
    <t>Wasabi not selected — AWS chosen for S3 API compatibility and GxP compliance</t>
  </si>
  <si>
    <t>Technical decision</t>
  </si>
  <si>
    <t>Wasabi at $6.99/TB = slightly cheaper; recalculate if Wasabi selected</t>
  </si>
  <si>
    <t>Decision confirmed</t>
  </si>
  <si>
    <t>RISK REGISTER</t>
  </si>
  <si>
    <t>Risk Description</t>
  </si>
  <si>
    <t>Likelihood</t>
  </si>
  <si>
    <t>Impact</t>
  </si>
  <si>
    <t>Risk Score</t>
  </si>
  <si>
    <t>Mitigation</t>
  </si>
  <si>
    <t>Residual Risk</t>
  </si>
  <si>
    <t>R1</t>
  </si>
  <si>
    <t>Archive rehydration bottleneck — 882 TiB of Archive data requires up to 15hr rehydration per batch. Migration could take 8-12 weeks for archive tier alone, causing HubStor overlap billing.</t>
  </si>
  <si>
    <t>HIGH</t>
  </si>
  <si>
    <t>🔴 CRITICAL</t>
  </si>
  <si>
    <t>Start archive rehydration in Month 2 immediately. Run parallel batches. Budget for 2 months HubStor overlap (~$71K) in financial model.</t>
  </si>
  <si>
    <t>MEDIUM</t>
  </si>
  <si>
    <t>R2</t>
  </si>
  <si>
    <t>Azure egress cost overrun — Egress calculated at $64,645 but tiered pricing assumes linear volume. Actual rates depend on billing cycle timing.</t>
  </si>
  <si>
    <t>🟡 MODERATE</t>
  </si>
  <si>
    <t>Negotiate Azure egress credits for large migration. Pre-announce to Azure account team. Consider doing migration over 2-3 billing cycles to stay in lower tiers.</t>
  </si>
  <si>
    <t>LOW</t>
  </si>
  <si>
    <t>Cloud Arch / Azure Rep</t>
  </si>
  <si>
    <t>R3</t>
  </si>
  <si>
    <t>HubStor connector incompatibility — 17+ connectors across multiple sites may not work transparently with S3 File Gateway. DPI connectors (APO-PR-APP-*) may have custom metadata.</t>
  </si>
  <si>
    <t>🔴 HIGH</t>
  </si>
  <si>
    <t>Pilot one connector type per site in Month 2 before full migration. Test DPI connectors specifically. Have HubStor support on standby.</t>
  </si>
  <si>
    <t>App Teams / HubStor</t>
  </si>
  <si>
    <t>R4</t>
  </si>
  <si>
    <t>Data integrity loss during migration — File corruption or missing objects during Azure→S3 transfer.</t>
  </si>
  <si>
    <t>CRITICAL</t>
  </si>
  <si>
    <t>MD5/ETag checksums validated by DataSync. Run post-migration inventory compare (S3 Inventory vs HubStor report). Do NOT decommission HubStor until 100% verified.</t>
  </si>
  <si>
    <t>R5</t>
  </si>
  <si>
    <t>AWS Storage Gateway performance under load — Local cache (1TB EBS) may be insufficient for sites with high concurrent archive read requests.</t>
  </si>
  <si>
    <t>Monitor cache hit ratio from day 1. Increase EBS cache to 2TB if hit ratio &lt;80%. Pre-warm cache for frequently accessed data.</t>
  </si>
  <si>
    <t>R6</t>
  </si>
  <si>
    <t>Object Lock misconfiguration on GxP data — Incorrect retention period (too short or wrong mode) creates compliance gap.</t>
  </si>
  <si>
    <t>Legal/QA review of retention periods before bucket creation. Use Compliance mode (not Governance). Test with non-regulated data first.</t>
  </si>
  <si>
    <t>QA/Regulatory/Legal</t>
  </si>
  <si>
    <t>R7</t>
  </si>
  <si>
    <t>Cost model underestimation — AWS S3 Glacier Deep Archive retrieval fees may be higher than estimated if archive access is more frequent than 0.5%/month.</t>
  </si>
  <si>
    <t>Monitor S3 retrieval metrics in CloudWatch from Month 1. Set Cost Anomaly Detection alerts at 120% of budget. Review quarterly.</t>
  </si>
  <si>
    <t>Cloud Arch / Finance</t>
  </si>
  <si>
    <t>R8</t>
  </si>
  <si>
    <t>HubStor contract lock-in — Contract may require &gt;30 day notice or have early termination penalties.</t>
  </si>
  <si>
    <t>Review HubStor contract IMMEDIATELY. If &gt;30 day notice required, adjust timeline. Factor any penalties into migration cost.</t>
  </si>
  <si>
    <t>Legal / Finance</t>
  </si>
  <si>
    <t>R9</t>
  </si>
  <si>
    <t>EU data sovereignty breach — Data temporarily routed outside correct region during migration.</t>
  </si>
  <si>
    <t>Enforce bucket region from day 1 with SCP (Service Control Policy). No cross-region replication. Use AWS Config rule to alert on region violations.</t>
  </si>
  <si>
    <t>Cloud Arch / Legal</t>
  </si>
  <si>
    <t>R10</t>
  </si>
  <si>
    <t>Bandwidth saturation during migration — Simultaneous rehydration + egress from Azure may saturate site/DC internet links.</t>
  </si>
  <si>
    <t>Schedule migration transfers outside business hours. Set bandwidth limits in DataSync/Rclone. Start with smallest stor (RMS 914 GiB) as controlled pilot.</t>
  </si>
  <si>
    <t>6-MONTH MIGRATION PLAN — COMPLETE HUBSTOR → AWS S3 REPLACEMENT</t>
  </si>
  <si>
    <t>Phased approach: Pilot → US Regions → EU Regions → Cutover | Data residency preserved throughout | HubStor runs in parallel until Month 6</t>
  </si>
  <si>
    <t>PHASE OVERVIEW — TIMELINE AT A GLANCE</t>
  </si>
  <si>
    <t>Phase</t>
  </si>
  <si>
    <t>Description</t>
  </si>
  <si>
    <t>Month 1</t>
  </si>
  <si>
    <t>Month 2</t>
  </si>
  <si>
    <t>Month 3</t>
  </si>
  <si>
    <t>Month 4</t>
  </si>
  <si>
    <t>Month 5</t>
  </si>
  <si>
    <t>Month 6</t>
  </si>
  <si>
    <t>Key Milestone</t>
  </si>
  <si>
    <t>Budget Impact ($)</t>
  </si>
  <si>
    <t>Phase 0</t>
  </si>
  <si>
    <t>Foundation &amp; Procurement</t>
  </si>
  <si>
    <t>██████</t>
  </si>
  <si>
    <t>AWS accounts active, IAM ready, HubStor contract notice served</t>
  </si>
  <si>
    <t>Not started</t>
  </si>
  <si>
    <t>Phase 1</t>
  </si>
  <si>
    <t>Pilot Migration (RMS East US)</t>
  </si>
  <si>
    <t>RMS 914 GiB migrated; Gateway tested; data integrity verified</t>
  </si>
  <si>
    <t>~$500 AWS costs only</t>
  </si>
  <si>
    <t>Phase 2</t>
  </si>
  <si>
    <t>US Regions (EastUS2 + WestUS2)</t>
  </si>
  <si>
    <t>294 TiB US data migrated; US sites cut over to S3 Gateway</t>
  </si>
  <si>
    <t>Phase 3</t>
  </si>
  <si>
    <t>EU UK Region (UKSouth)</t>
  </si>
  <si>
    <t>374 TiB UK data migrated; UK sites cut over</t>
  </si>
  <si>
    <t>Phase 4</t>
  </si>
  <si>
    <t>EU Continent (WestEurope + Germany)</t>
  </si>
  <si>
    <t>398 TiB EU/DE data migrated; all EU sites cut over</t>
  </si>
  <si>
    <t>Phase 5</t>
  </si>
  <si>
    <t>Cutover, Decommission &amp; Optimisation</t>
  </si>
  <si>
    <t>HubStor subscription cancelled; zero Azure Blob spend</t>
  </si>
  <si>
    <t>First full month saving realised</t>
  </si>
  <si>
    <t>PHASE 0 — FOUNDATION &amp; PROCUREMENT  (Month 1: Weeks 1-4)</t>
  </si>
  <si>
    <t>Week</t>
  </si>
  <si>
    <t>Task</t>
  </si>
  <si>
    <t>Detail / Notes</t>
  </si>
  <si>
    <t>Success Criteria</t>
  </si>
  <si>
    <t>Week 1</t>
  </si>
  <si>
    <t>Review and serve HubStor contract termination notice (verify notice period)</t>
  </si>
  <si>
    <t>Notice period clock starts. If &gt;30 days, adjust plan.</t>
  </si>
  <si>
    <t>CONTRACT NOTICE SERVED</t>
  </si>
  <si>
    <t>AWS Setup</t>
  </si>
  <si>
    <t>Create AWS accounts per region (us-east-1, us-west-2, eu-west-2, eu-west-1, eu-central-1)</t>
  </si>
  <si>
    <t>5 AWS accounts or 1 org with SCPs per region</t>
  </si>
  <si>
    <t>Accounts active</t>
  </si>
  <si>
    <t>Configure IAM: DataSync role, Gateway role, S3 bucket policies, KMS CMKs (1 per region)</t>
  </si>
  <si>
    <t>All permissions least-privilege; tested with CLI</t>
  </si>
  <si>
    <t>IAM complete</t>
  </si>
  <si>
    <t>Week 2</t>
  </si>
  <si>
    <t>Create S3 buckets with naming convention, Object Lock (Compliance mode), versioning policy</t>
  </si>
  <si>
    <t>Bucket policy blocks public access; Object Lock enabled on GxP buckets</t>
  </si>
  <si>
    <t>Buckets created</t>
  </si>
  <si>
    <t>Configure S3 lifecycle rules: Archive→Glacier Deep Archive on upload; Cool→Standard-IA</t>
  </si>
  <si>
    <t>Lifecycle rules prevent objects landing in wrong tier</t>
  </si>
  <si>
    <t>Rules active</t>
  </si>
  <si>
    <t>Monitoring</t>
  </si>
  <si>
    <t>Deploy CloudWatch dashboards: cost, storage usage, Gateway health, DataSync job status</t>
  </si>
  <si>
    <t>Alerts configured for 120% budget threshold</t>
  </si>
  <si>
    <t>Dashboards live</t>
  </si>
  <si>
    <t>Week 3</t>
  </si>
  <si>
    <t>Network</t>
  </si>
  <si>
    <t>Gateway VM deployment — install on-prem at WLM (pilot site). Configure NFS/SMB share</t>
  </si>
  <si>
    <t>Network + Cloud</t>
  </si>
  <si>
    <t>VM: m5.xlarge compatible VM on-prem. Attach 1TB EBS cache. Test HTTPS to S3.</t>
  </si>
  <si>
    <t>WLM Gateway online</t>
  </si>
  <si>
    <t>Configure AWS VPC Gateway Endpoint for S3 (free — eliminates NAT Gateway fees if EC2 used)</t>
  </si>
  <si>
    <t>Endpoint policy restricts access to specific buckets</t>
  </si>
  <si>
    <t>VPC endpoint active</t>
  </si>
  <si>
    <t>Week 4</t>
  </si>
  <si>
    <t>Testing</t>
  </si>
  <si>
    <t>End-to-end connectivity test: write test file via Gateway → verify in S3 bucket → retrieve</t>
  </si>
  <si>
    <t>Checksum match confirms data integrity path</t>
  </si>
  <si>
    <t>E2E test PASSED</t>
  </si>
  <si>
    <t>Documentation</t>
  </si>
  <si>
    <t>Finalise migration runbook per site. DataSync job scripts prepared. Rollback plan documented</t>
  </si>
  <si>
    <t>Runbook peer-reviewed</t>
  </si>
  <si>
    <t>Runbook signed off</t>
  </si>
  <si>
    <t>PHASE 1 — PILOT MIGRATION: RMS EAST US FILES  (Month 2: ~914 GiB)</t>
  </si>
  <si>
    <t>Week 5</t>
  </si>
  <si>
    <t>Configure AWS DataSync: source=WLM-PR-FIL-05 Azure Blob, dest=S3 us-east-1 bucket</t>
  </si>
  <si>
    <t>3 DataSync tasks (3 connectors); --storage-class=STANDARD_IA for RMS data</t>
  </si>
  <si>
    <t>DataSync jobs configured</t>
  </si>
  <si>
    <t>Start DataSync transfer. Monitor CloudWatch for transfer rate, errors, throughput</t>
  </si>
  <si>
    <t>Expected: ~200GB/hr → 914 GiB ≈ 5 hours. Run overnight.</t>
  </si>
  <si>
    <t>Transfer started</t>
  </si>
  <si>
    <t>Week 6</t>
  </si>
  <si>
    <t>Validation</t>
  </si>
  <si>
    <t>Post-transfer: S3 Inventory report vs HubStor export — compare object counts and sizes</t>
  </si>
  <si>
    <t>100% object count match required before proceeding</t>
  </si>
  <si>
    <t>Integrity VERIFIED</t>
  </si>
  <si>
    <t>Retrieval test: retrieve 5 random files via S3 Gateway share. Verify content matches</t>
  </si>
  <si>
    <t>All 5 files open correctly; no corruption</t>
  </si>
  <si>
    <t>Retrieval PASSED</t>
  </si>
  <si>
    <t>Cutover</t>
  </si>
  <si>
    <t>Update WLM-RMS connector to point to S3 File Gateway NFS share (change target path only)</t>
  </si>
  <si>
    <t>App Teams / Network</t>
  </si>
  <si>
    <t>Connector writes to S3 from this point; reads via Gateway cache</t>
  </si>
  <si>
    <t>Connector switched</t>
  </si>
  <si>
    <t>Week 7</t>
  </si>
  <si>
    <t>Monitor RMS connector for 1 week: write speed, retrieval latency, error rate</t>
  </si>
  <si>
    <t>Target: &lt;5s for cached reads; &lt;30min for uncached archive fetch</t>
  </si>
  <si>
    <t>1-week soak PASS</t>
  </si>
  <si>
    <t>Week 8</t>
  </si>
  <si>
    <t>Review</t>
  </si>
  <si>
    <t>Pilot retrospective: document lessons, adjust runbook, confirm Phase 2 go/no-go</t>
  </si>
  <si>
    <t>Signed go/no-go decision gate</t>
  </si>
  <si>
    <t>GO/NO-GO DECISION</t>
  </si>
  <si>
    <t>PHASE 2 — US REGIONS: EastUS2 + WestUS2  (Month 3: ~294 TiB)</t>
  </si>
  <si>
    <t>Week 9</t>
  </si>
  <si>
    <t>Begin archive rehydration for Safety Assessment East US (119 TiB archive). Submit rehydration job.</t>
  </si>
  <si>
    <t>Azure Standard rehydration = up to 15hr. Batch by stor group.</t>
  </si>
  <si>
    <t>Rehydration started</t>
  </si>
  <si>
    <t>Deploy Gateway VM at MWN site (Safety Assessment). Configure connectors.</t>
  </si>
  <si>
    <t>Mirror WLM setup. Same EBS cache size. Test connectivity.</t>
  </si>
  <si>
    <t>MWN Gateway ready</t>
  </si>
  <si>
    <t>Deploy Gateway VM at RNO site (Safety Assessment West). Configure connectors.</t>
  </si>
  <si>
    <t>RNO covers WestUS2 data.</t>
  </si>
  <si>
    <t>RNO Gateway ready</t>
  </si>
  <si>
    <t>Week 10</t>
  </si>
  <si>
    <t>Start DataSync jobs: Microbial East US (25 TiB), RMS sub-stores remaining</t>
  </si>
  <si>
    <t>Run overnight. Monitor DataSync CloudWatch dashboard.</t>
  </si>
  <si>
    <t>Microbial migrated</t>
  </si>
  <si>
    <t>Start DataSync jobs: Safety Assessment East US (after rehydration completes)</t>
  </si>
  <si>
    <t>122 TiB total. Largest US store. May take 2-3 nights.</t>
  </si>
  <si>
    <t>SA East migrated</t>
  </si>
  <si>
    <t>Week 11</t>
  </si>
  <si>
    <t>Start DataSync jobs: Safety Assessment West US (72 TiB WestUS2 data)</t>
  </si>
  <si>
    <t>RNO connector data. Run over 2 nights.</t>
  </si>
  <si>
    <t>SA West migrated</t>
  </si>
  <si>
    <t>S3 Inventory cross-check for all US stores. Fix any gaps.</t>
  </si>
  <si>
    <t>Zero discrepancy required</t>
  </si>
  <si>
    <t>US inventory matched</t>
  </si>
  <si>
    <t>Week 12</t>
  </si>
  <si>
    <t>Switch all US site connectors to S3 Gateway. Disable Azure write access to US Blob containers.</t>
  </si>
  <si>
    <t>Connectors: APO-PR-APP-02 to 09, MWN-PR-FIL-01, WLM-PR-FIL-05</t>
  </si>
  <si>
    <t>US sites LIVE on S3</t>
  </si>
  <si>
    <t>PHASE 3 — EU UK: UKSouth  (Month 4: ~374 TiB)</t>
  </si>
  <si>
    <t>Week 13</t>
  </si>
  <si>
    <t>Deploy Gateway VM in UK DC (PTH/Portishead or EDI/Edinburgh). Configure eu-west-2 bucket.</t>
  </si>
  <si>
    <t>UK data must stay in eu-west-2 (London). Enforce with SCP.</t>
  </si>
  <si>
    <t>UK Gateway ready</t>
  </si>
  <si>
    <t>Begin Early Discovery UK rehydration (242 TiB archive in UKSouth — largest single store)</t>
  </si>
  <si>
    <t>Submit Azure rehydration. Expect 15-20 hours. Plan 2-3 day window.</t>
  </si>
  <si>
    <t>Rehydration queued</t>
  </si>
  <si>
    <t>Week 14</t>
  </si>
  <si>
    <t>Start DataSync: Portishead Discovery (26 TiB). Run overnight.</t>
  </si>
  <si>
    <t>PTH-Discovery connector data.</t>
  </si>
  <si>
    <t>PTH migrated</t>
  </si>
  <si>
    <t>Start DataSync: Safety Assessment UK (525 GiB). Quick transfer.</t>
  </si>
  <si>
    <t>EDI-SafetyAssessment — small store.</t>
  </si>
  <si>
    <t>EDI migrated</t>
  </si>
  <si>
    <t>Week 15</t>
  </si>
  <si>
    <t>Start DataSync: Early Discovery UK (325 TiB total after rehydration)</t>
  </si>
  <si>
    <t>Largest EU store. Will take 3-4 nights. CRP (325 TiB) + HAR (17 TiB).</t>
  </si>
  <si>
    <t>UK Early Discovery migrated</t>
  </si>
  <si>
    <t>Week 16</t>
  </si>
  <si>
    <t>UK S3 Inventory cross-check. Validate Object Lock applied to regulated data.</t>
  </si>
  <si>
    <t>Migration + QA</t>
  </si>
  <si>
    <t>QA sign-off required for GxP stores</t>
  </si>
  <si>
    <t>UK inventory + GxP PASS</t>
  </si>
  <si>
    <t>Switch UK connectors to S3 Gateway. Verify GDPR data residency in eu-west-2.</t>
  </si>
  <si>
    <t>App Teams / Legal</t>
  </si>
  <si>
    <t>Connectors: APO-PR-APP-03,04,11,12,14; MWN-PR-FIL-01</t>
  </si>
  <si>
    <t>UK LIVE on S3</t>
  </si>
  <si>
    <t>PHASE 4 — EU CONTINENT: WestEurope + GermanyWestCentral  (Month 5: ~398 TiB)</t>
  </si>
  <si>
    <t>Week 17</t>
  </si>
  <si>
    <t>Deploy Gateway VMs: Leiden NL (LEI) → eu-west-1 bucket; Freiburg DE (FRI) → eu-central-1</t>
  </si>
  <si>
    <t>German data MUST use eu-central-1 (Frankfurt). SCP enforced.</t>
  </si>
  <si>
    <t>EU/DE Gateways ready</t>
  </si>
  <si>
    <t>Begin Early Discovery NL rehydration (258 TiB archive). Submit to Azure.</t>
  </si>
  <si>
    <t>WestEurope LEI-EarlyDiscovery. Largest EU store.</t>
  </si>
  <si>
    <t>NL rehydration queued</t>
  </si>
  <si>
    <t>Week 18</t>
  </si>
  <si>
    <t>Start DataSync: Discovery NL (3.9 TiB), Safety Assessment NL (18 TiB), Discovery HU (35 GiB)</t>
  </si>
  <si>
    <t>Smaller stores first. Validate before tackling large NL store.</t>
  </si>
  <si>
    <t>Small EU stores migrated</t>
  </si>
  <si>
    <t>Start DataSync: Discovery DE (49 TiB into eu-central-1/Frankfurt)</t>
  </si>
  <si>
    <t>FRI-Discovery. German data stays in DE. Validate region after.</t>
  </si>
  <si>
    <t>DE migrated</t>
  </si>
  <si>
    <t>Week 19</t>
  </si>
  <si>
    <t>Start DataSync: Discovery FI (38 TiB into eu-west-1)</t>
  </si>
  <si>
    <t>KUO-Discovery. Finnish data via Amsterdam region.</t>
  </si>
  <si>
    <t>FI migrated</t>
  </si>
  <si>
    <t>Start DataSync: Early Discovery NL (286 TiB after rehydration)</t>
  </si>
  <si>
    <t>Biggest EU migration. Run over 4-5 nights.</t>
  </si>
  <si>
    <t>NL Early Discovery migrated</t>
  </si>
  <si>
    <t>Week 20</t>
  </si>
  <si>
    <t>Full EU inventory cross-check. German data residency confirmed. FR/NL/FI/HU data in eu-west-1.</t>
  </si>
  <si>
    <t>Migration + Legal</t>
  </si>
  <si>
    <t>Data residency audit report produced</t>
  </si>
  <si>
    <t>EU inventory + residency PASS</t>
  </si>
  <si>
    <t>Switch all EU connectors to S3 Gateway. Disable Azure EU Blob write access.</t>
  </si>
  <si>
    <t>All APO and FIL connectors for EU sites</t>
  </si>
  <si>
    <t>ALL EU LIVE on S3</t>
  </si>
  <si>
    <t>PHASE 5 — CUTOVER, DECOMMISSION &amp; OPTIMISATION  (Month 6)</t>
  </si>
  <si>
    <t>Week 21</t>
  </si>
  <si>
    <t>Final validation: all sites reading/writing from S3 for 2 weeks. Zero Azure Blob writes.</t>
  </si>
  <si>
    <t>CloudWatch confirms 0 bytes written to Azure</t>
  </si>
  <si>
    <t>Zero-Azure confirmed</t>
  </si>
  <si>
    <t>Run full S3 Inventory vs original HubStor Master Report — final count match</t>
  </si>
  <si>
    <t>100% object count and size match required</t>
  </si>
  <si>
    <t>FINAL INTEGRITY PASS</t>
  </si>
  <si>
    <t>Submit HubStor subscription cancellation. Provide data deletion confirmation if required.</t>
  </si>
  <si>
    <t>Finance / Legal</t>
  </si>
  <si>
    <t>Contract termination executed. Confirm no auto-renewal.</t>
  </si>
  <si>
    <t>HubStor CANCELLED</t>
  </si>
  <si>
    <t>Week 22</t>
  </si>
  <si>
    <t>Terminate Azure Blob Storage accounts (all 5 regions). Download final invoices.</t>
  </si>
  <si>
    <t>Finance / Cloud Arch</t>
  </si>
  <si>
    <t>Azure cost stops. Final invoice received.</t>
  </si>
  <si>
    <t>Azure Blob TERMINATED</t>
  </si>
  <si>
    <t>Optimisation</t>
  </si>
  <si>
    <t>Enable S3 Storage Lens — review storage efficiency, lifecycle policy effectiveness</t>
  </si>
  <si>
    <t>Identify any objects in wrong tier; fix lifecycle rules</t>
  </si>
  <si>
    <t>Storage Lens active</t>
  </si>
  <si>
    <t>Enable Cost Anomaly Detection — alert if AWS bill exceeds $X,000</t>
  </si>
  <si>
    <t>Anomaly detector configured; tested with manual trigger</t>
  </si>
  <si>
    <t>Cost alerts live</t>
  </si>
  <si>
    <t>Week 23</t>
  </si>
  <si>
    <t>First clean month: AWS-only bill. Reconcile vs cost model. Report actual vs projected saving.</t>
  </si>
  <si>
    <t>Report to stakeholders: actual vs $30,961 monthly saving target</t>
  </si>
  <si>
    <t>Month 1 saving report</t>
  </si>
  <si>
    <t>Week 24</t>
  </si>
  <si>
    <t>Closeout</t>
  </si>
  <si>
    <t>Migration project retrospective. Update runbooks. Archive project docs. Celebrate! 🎉</t>
  </si>
  <si>
    <t>Lessons learned documented; team recognised</t>
  </si>
  <si>
    <t>PROJECT CLOSED</t>
  </si>
  <si>
    <t>FINANCIAL MODEL — Jul 2026 to Dec 2030  |  3 Phases: Non-Disc Migration → Discovery Hand-Off → AWS Only</t>
  </si>
  <si>
    <t>Phase 1 (Jul–Dec 2026): Non-Discovery sites → AWS S3 via Storage Gateway  |  Phase 2 (Jan–Jun 2027): Discovery sites handed off to new company (CRL pays Azure extraction)  |  Phase 3 (Jul 2027–Dec 2030): AWS S3 only — full saving realised</t>
  </si>
  <si>
    <t>MODEL INPUTS</t>
  </si>
  <si>
    <t>HubStor monthly cost — NON-DISCOVERY sites only</t>
  </si>
  <si>
    <t>Safety Assessment (US/UK/EU) + Microbial + RMS = $10,716/mo</t>
  </si>
  <si>
    <t>HubStor monthly cost — DISCOVERY sites (Jan-Jun 2027 hand-off)</t>
  </si>
  <si>
    <t>FRI/CRP/HAR/PTH/LEI/GRO/KUO/SZG = $24,807/mo; reduces to $0 by Jul 2027</t>
  </si>
  <si>
    <t>FULL current baseline — ALL HubStor + Backup/DataBox (non-disc $10,716 + disc $24,807 + backup $3,000)</t>
  </si>
  <si>
    <t>Non-disc HubStor $10,716 + Discovery HubStor $24,807 + Backup $3,000 = $38,523/mo. Baseline for all saving calculations.</t>
  </si>
  <si>
    <t>AWS Total monthly (non-disc S3 + 3 Gateway appliances)</t>
  </si>
  <si>
    <t>S3 storage $645 + 3 gateways $1,410 + ops $236 = $2,291/mo</t>
  </si>
  <si>
    <t>Phase 1 non-disc migration cost (total)</t>
  </si>
  <si>
    <t>Azure retrieval+egress+DataSync+setup for non-disc sites only = $51,203</t>
  </si>
  <si>
    <t>Phase 2 discovery hand-off cost (total — our Azure extraction share)</t>
  </si>
  <si>
    <t>Azure retrieval+egress+DataSync for 8 discovery site groups = $86,843</t>
  </si>
  <si>
    <t>Applied from 2028 onwards</t>
  </si>
  <si>
    <t>Full steady-state monthly saving (Jul 2027+)</t>
  </si>
  <si>
    <t>$38,523 full baseline - $2,291 AWS = $36,232/mo saving. Realised from Jul 2027 when all HubStor+Azure = $0.</t>
  </si>
  <si>
    <t>Payback — months from Jul 2027 (after all migration complete)</t>
  </si>
  <si>
    <t>~4.1 months from Jul 2027 | Phase1 mig $51,203 + Phase1 AWS overlap $11,363 + Phase2 disc $86,843 = $149,409 total investment</t>
  </si>
  <si>
    <t>PHASE 1 — NON-DISCOVERY MIGRATION TO AWS S3  (Jul 1 – Dec 31, 2026)  |  Safety Assessment, Microbial &amp; RMS sites only  |  3 Storage Gateway appliances</t>
  </si>
  <si>
    <t>DISCOVERY SITES (FRI/CRP/HAR/PTH/LEI/GRO/KUO/SZG) remain in Azure/HubStor throughout Phase 1 — they are NOT migrated to S3. AWS costs = 3 gateways + non-disc S3 storage only.  HubStor cost steps down as non-disc Azure regions are deleted from Oct.</t>
  </si>
  <si>
    <t>Calendar Month</t>
  </si>
  <si>
    <t>HubStor+Azure ($)
[ALL sites — steps ↓ Oct+]</t>
  </si>
  <si>
    <t>AWS Cost ($)
[non-disc ramp ↑]</t>
  </si>
  <si>
    <t>Total Monthly Spend
(HubStor + AWS + Mig)</t>
  </si>
  <si>
    <t>Phase 1 Migration Cost ($)
[non-disc data only]</t>
  </si>
  <si>
    <t>HubStor breakdown</t>
  </si>
  <si>
    <t>Monthly saving vs
old $38,523 baseline</t>
  </si>
  <si>
    <t>Net Cumulative Saving ($)
[negative = investment building]</t>
  </si>
  <si>
    <t>Jul 2026</t>
  </si>
  <si>
    <t>All 5 regions (incl. Discovery) = $35,523 + $3,000 backup = $38,523</t>
  </si>
  <si>
    <t>Aug 2026</t>
  </si>
  <si>
    <t>All 5 regions = $35,523 + $3,000 backup = $38,523</t>
  </si>
  <si>
    <t>Sep 2026</t>
  </si>
  <si>
    <t>Oct 2026</t>
  </si>
  <si>
    <t>Non-disc WestUS2 deleted (−$2,208). Disc sites unchanged. $36,315 total.</t>
  </si>
  <si>
    <t>Nov 2026</t>
  </si>
  <si>
    <t>Non-disc EastUS2 deleted (−$7,681). Disc sites unchanged. $28,634 total.</t>
  </si>
  <si>
    <t>Dec 2026</t>
  </si>
  <si>
    <t>EU SA non-disc deleted (−$827). Disc still $24,807. Notice $1K + backup $3K = $28,807.</t>
  </si>
  <si>
    <t>6 mo</t>
  </si>
  <si>
    <t>NON-DISC MIGRATION TOTAL  Jul–Dec 2026</t>
  </si>
  <si>
    <t>Note: HubStor cost stays flat Jul-Sep (disc sites still running). Steps down Oct-Dec as non-disc regions deleted.</t>
  </si>
  <si>
    <t>✅  By Dec 2026: All non-discovery data is on AWS S3. All non-discovery Azure regions deleted. Discovery data still in Azure (HubStor $24,807/mo + backup $3,000 continuing). Phase 2 begins Jan 2027: hand off discovery sites to new company.</t>
  </si>
  <si>
    <t>PHASE 2 — DISCOVERY SITE HAND-OFF TO NEW COMPANY  (Jan 2027 – Jun 2027)  | Azure+HubStor cost steps DOWN as each site is transferred  | CRL pays Azure extraction cost per site  |  AWS stays flat at $2,291/mo</t>
  </si>
  <si>
    <t>Each month one or more discovery site groups are extracted from Azure and handed to the new company. HubStor+Azure cost drops immediately when a site is transferred. CRL bears: Azure retrieval fees + Azure egress fees + DataSync fees per site (shown in column F). Net Cumulative Saving = savings vs doing nothing, minus ALL extra costs (AWS overlap + Phase 1 mig + Phase 2 mig).</t>
  </si>
  <si>
    <t>HubStor + Azure ($)
[steps ↓ each month]</t>
  </si>
  <si>
    <t>AWS S3 Cost ($)
[flat $2,291/mo]</t>
  </si>
  <si>
    <t>Discovery Mig Cost ($)
[our Azure extraction]</t>
  </si>
  <si>
    <t>Sites transferred to new company
&amp; HubStor cost unlocked</t>
  </si>
  <si>
    <t>Net Cumulative Saving ($)
[vs doing nothing]</t>
  </si>
  <si>
    <t>CRP-EarlyDiscovery (325,872 GiB)
−$11,063/mo HubStor unlocked</t>
  </si>
  <si>
    <t>LEI-EarlyDiscovery (286,607 GiB)
−$9,149/mo HubStor unlocked</t>
  </si>
  <si>
    <t>KUO-Discovery (34,060 GiB) + FRI-Discovery (48,444 GiB)
−$2,936/mo HubStor unlocked</t>
  </si>
  <si>
    <t>PTH-Discovery (30,378 GiB) + HAR-EarlyDiscovery (17,264 GiB)
−$1,533/mo HubStor unlocked</t>
  </si>
  <si>
    <t>GRO-Discovery (3,950 GiB) + SZG-Discovery (34 GiB)
−$125/mo HubStor unlocked  ✅ All discovery sites done</t>
  </si>
  <si>
    <t>Jun 2027</t>
  </si>
  <si>
    <t>All discovery sites fully transferred to new company
Backup/DataBox $3,000 ceasing — final month</t>
  </si>
  <si>
    <t>DISCOVERY HAND-OFF TOTAL  Jan–Jun 2027</t>
  </si>
  <si>
    <t>✅ Jun 2027: All discovery handed off. Jul 2027+: HubStor=$0, Backup=$0, full $36,232/mo saving.</t>
  </si>
  <si>
    <t>PHASE 3 — AWS S3 ONLY  (Jul 2027 – Dec 2030)  |  HubStor=$0  |  Azure=$0  |  Backup=$0  |  Full $36,232/mo saving</t>
  </si>
  <si>
    <t>All HubStor and Azure costs are $0. AWS S3 stores non-discovery data only (320,095 GiB). Monthly saving = $38,523 (old full baseline) − $2,291 (AWS) = $36,232/mo. AWS cost grows 5% per year from 2028 as non-disc data volumes increase.</t>
  </si>
  <si>
    <t>HubStor+Azure ($)</t>
  </si>
  <si>
    <t>AWS Total ($)</t>
  </si>
  <si>
    <t>Monthly Saving ($)
[vs old $38,523]</t>
  </si>
  <si>
    <t>Cumul. Saving (from Jul 2027)</t>
  </si>
  <si>
    <t>Monthly saving vs
old baseline</t>
  </si>
  <si>
    <t>Net Cumulative Saving ($)</t>
  </si>
  <si>
    <t>Jul 2027</t>
  </si>
  <si>
    <t>Aug 2027</t>
  </si>
  <si>
    <t>Sep 2027</t>
  </si>
  <si>
    <t>Oct 2027</t>
  </si>
  <si>
    <t>Nov 2027</t>
  </si>
  <si>
    <t>Dec 2027</t>
  </si>
  <si>
    <t>Jan 2028</t>
  </si>
  <si>
    <t>Feb 2028</t>
  </si>
  <si>
    <t>Mar 2028</t>
  </si>
  <si>
    <t>Apr 2028</t>
  </si>
  <si>
    <t>May 2028</t>
  </si>
  <si>
    <t>Jun 2028</t>
  </si>
  <si>
    <t>Jul 2028</t>
  </si>
  <si>
    <t>Aug 2028</t>
  </si>
  <si>
    <t>Sep 2028</t>
  </si>
  <si>
    <t>Oct 2028</t>
  </si>
  <si>
    <t>Nov 2028</t>
  </si>
  <si>
    <t>Dec 2028</t>
  </si>
  <si>
    <t>Jan 2029</t>
  </si>
  <si>
    <t>Feb 2029</t>
  </si>
  <si>
    <t>Mar 2029</t>
  </si>
  <si>
    <t>Apr 2029</t>
  </si>
  <si>
    <t>May 2029</t>
  </si>
  <si>
    <t>Jun 2029</t>
  </si>
  <si>
    <t>Jul 2029</t>
  </si>
  <si>
    <t>Aug 2029</t>
  </si>
  <si>
    <t>Sep 2029</t>
  </si>
  <si>
    <t>Oct 2029</t>
  </si>
  <si>
    <t>Nov 2029</t>
  </si>
  <si>
    <t>Dec 2029</t>
  </si>
  <si>
    <t>Jan 2030</t>
  </si>
  <si>
    <t>Feb 2030</t>
  </si>
  <si>
    <t>Mar 2030</t>
  </si>
  <si>
    <t>Apr 2030</t>
  </si>
  <si>
    <t>May 2030</t>
  </si>
  <si>
    <t>Jun 2030</t>
  </si>
  <si>
    <t>Jul 2030</t>
  </si>
  <si>
    <t>Aug 2030</t>
  </si>
  <si>
    <t>Sep 2030</t>
  </si>
  <si>
    <t>Oct 2030</t>
  </si>
  <si>
    <t>Nov 2030</t>
  </si>
  <si>
    <t>Dec 2030</t>
  </si>
  <si>
    <t>ANNUAL SUMMARY</t>
  </si>
  <si>
    <t>Period</t>
  </si>
  <si>
    <t>Calendar Year</t>
  </si>
  <si>
    <t>Gross Saving ($)</t>
  </si>
  <si>
    <t>Migration Cost ($)</t>
  </si>
  <si>
    <t>Net Saving ($)</t>
  </si>
  <si>
    <t>Cumul. Net Saving ($)</t>
  </si>
  <si>
    <t>Jul–Dec 2026</t>
  </si>
  <si>
    <t>-</t>
  </si>
  <si>
    <t>Non-disc migration to S3</t>
  </si>
  <si>
    <t>Jan–Jun 2027</t>
  </si>
  <si>
    <t>Discovery hand-off to new company</t>
  </si>
  <si>
    <t>Year 1</t>
  </si>
  <si>
    <t>Jul–Dec 2027</t>
  </si>
  <si>
    <t>Year 2</t>
  </si>
  <si>
    <t>Jan–Dec 2028</t>
  </si>
  <si>
    <t>Year 3</t>
  </si>
  <si>
    <t>Jan–Dec 2029</t>
  </si>
  <si>
    <t>Year 4</t>
  </si>
  <si>
    <t>Jan–Dec 2030</t>
  </si>
  <si>
    <t>Jul 2026 – Dec 2030</t>
  </si>
  <si>
    <t>AWS S3 TARGET ARCHITECTURE — CONNECTIVITY &amp; ACCESS DESIGN</t>
  </si>
  <si>
    <t>Full HubStor replacement | S3 File Gateway replaces all HubStor connectors | Data residency preserved per region</t>
  </si>
  <si>
    <t>STORAGE GATEWAY — HOW SITES CONNECT TO S3 (replaces HubStor connector agents)</t>
  </si>
  <si>
    <t>Pattern</t>
  </si>
  <si>
    <t>AWS S3 File Gateway (NFS/SMB shares) → replaces every HubStor connector agent at each site. S3-compatible. No application changes needed.</t>
  </si>
  <si>
    <t>What it is</t>
  </si>
  <si>
    <t>A VM (VMware / Hyper-V / KVM) deployed on-prem at each site. Presents NFS or SMB shares to local applications. Data written to shares is automatically uploaded to S3 as objects with compression and encryption.</t>
  </si>
  <si>
    <t>Archiving flow</t>
  </si>
  <si>
    <t>Application saves file → File Gateway share → Gateway caches locally → Compresses &amp; uploads to S3 bucket (correct storage class via lifecycle rule) → File stays accessible via share (cached read).</t>
  </si>
  <si>
    <t>Retrieval flow</t>
  </si>
  <si>
    <t>User requests file from Gateway share → Gateway checks local 1TB EBS cache → If cached: instant return → If not cached: fetches from S3 (Standard-IA: ms; Glacier IR: ms; Deep Archive: restore first ~12-48hr) → Returns file.</t>
  </si>
  <si>
    <t>Sites &amp; VMs</t>
  </si>
  <si>
    <t>5 Gateway VMs required:
• WLM (EastUS2) → us-east-1
• RNO (WestUS2) → us-west-2
• UK sites (UKSouth) → eu-west-2
• NL/EU sites (WestEurope) → eu-west-1
• DE site (GermanyWestCentral) → eu-central-1</t>
  </si>
  <si>
    <t>HubStor connectors replaced</t>
  </si>
  <si>
    <t>All 17+ DPI connectors (APO-PR-APP-*), NAS connectors (MWN-PR-FIL-01, WLM-PR-FIL-05), and test connectors replaced by gateway shares. One Gateway per site serves all connectors at that site.</t>
  </si>
  <si>
    <t>Migration tool</t>
  </si>
  <si>
    <t>AWS DataSync for bulk one-time migration (Azure Blob → S3). DataSync handles checksums, retry, parallelism. Post-migration: Gateway handles all incremental writes; DataSync not needed.</t>
  </si>
  <si>
    <t>S3 BUCKET STRATEGY</t>
  </si>
  <si>
    <t>Bucket per region (5 buckets)</t>
  </si>
  <si>
    <t>us-east-1: company-archive-us-east / us-west-2: company-archive-us-west / eu-west-2: company-archive-uk / eu-west-1: company-archive-eu / eu-central-1: company-archive-de</t>
  </si>
  <si>
    <t>Prefix / key structure</t>
  </si>
  <si>
    <t>s3://company-archive-{region}/{site-code}/{stor-name}/{year}/{month}/{filename}  e.g., s3://company-archive-uk/CRP/EarlyDiscovery/2024/03/sample.raw</t>
  </si>
  <si>
    <t>Storage class mapping</t>
  </si>
  <si>
    <t>Standard/Hot → S3 Standard | Cool → S3 Standard-IA (lifecycle Day 0) | Cold → S3 Glacier Instant Retrieval | Archive → S3 Glacier Deep Archive (PUT directly via --storage-class)</t>
  </si>
  <si>
    <t>Lifecycle rules</t>
  </si>
  <si>
    <t>Lifecycle rule 1: Objects with tag tier=cool → Standard-IA immediately. Rule 2: Objects with tag tier=archive → Glacier Deep Archive immediately. Rule 3: Incomplete multipart uploads → abort after 7 days.</t>
  </si>
  <si>
    <t>Object Lock (GxP data)</t>
  </si>
  <si>
    <t>Enable S3 Object Lock in Compliance mode on buckets holding GxP-regulated data (Safety Assessment, Microbial). Retention period = defined by QA/Regulatory team. Objects cannot be deleted or modified during retention.</t>
  </si>
  <si>
    <t>Versioning</t>
  </si>
  <si>
    <t>Enable ONLY on compliance/GxP buckets. Do NOT enable on pure archive buckets (versioning doubles storage cost for every overwrite).</t>
  </si>
  <si>
    <t>Encryption</t>
  </si>
  <si>
    <t>SSE-S3 (AES-256) at zero extra cost as baseline. Upgrade to SSE-KMS for GxP data requiring audit trail of key access. 1 KMS CMK per region = $5/month total.</t>
  </si>
  <si>
    <t>VPC Gateway Endpoint</t>
  </si>
  <si>
    <t>Deploy free S3 VPC Gateway Endpoint in each AWS region to route S3 traffic within AWS backbone — eliminates NAT Gateway data processing charges if any EC2-based processing is added later.</t>
  </si>
  <si>
    <t>CONNECTIVITY OPTIONS</t>
  </si>
  <si>
    <t>Option A — HTTPS/TLS (Recommended, chosen for this design)</t>
  </si>
  <si>
    <t>Gateway VM uploads to S3 public endpoint over port 443 (HTTPS). Data is encrypted in transit (TLS 1.2+). No additional cost. All current sites have reliable internet. This is the chosen architecture.</t>
  </si>
  <si>
    <t>Option B — AWS Site-to-Site VPN (optional add-on)</t>
  </si>
  <si>
    <t>~$0.05/hr per VPN connection = $36/mo. Use if security policy requires private connectivity. Can be added after cutover. Transit cost ~$0.01/GB within AWS. NOT required for launch.</t>
  </si>
  <si>
    <t>Option C — AWS Direct Connect (optional premium)</t>
  </si>
  <si>
    <t>Dedicated 1Gbps circuit ~$200-500/mo port cost. Use only if bandwidth becomes a demonstrated bottleneck after 3 months on Option A. Overkill for archive workloads.</t>
  </si>
  <si>
    <t>Launch with Option A. Monitor Gateway CloudWatch metric WriteBytesPerSecond. If consistently &gt;50MB/s sustained and latency is causing issues, evaluate Option B as next step.</t>
  </si>
  <si>
    <t>REGION MAPPING — AZURE → AWS (data residency preserved)</t>
  </si>
  <si>
    <t>Azure EastUS2 (Virginia, USA)</t>
  </si>
  <si>
    <t>→  AWS us-east-1 (N. Virginia)  |  Sites: MWN, WLM  |  Safety Assessment East, Microbial, RMS</t>
  </si>
  <si>
    <t>Azure WestUS2 (Washington, USA)</t>
  </si>
  <si>
    <t>→  AWS us-west-2 (Oregon)       |  Sites: RNO  |  Safety Assessment West</t>
  </si>
  <si>
    <t>Azure UKSouth (London, UK)</t>
  </si>
  <si>
    <t>→  AWS eu-west-2 (London)       |  Sites: CRP, HAR, PTH, EDI  |  UK data stays in UK ✓</t>
  </si>
  <si>
    <t>Azure WestEurope (Amsterdam, NL)</t>
  </si>
  <si>
    <t>→  AWS eu-west-1 (Ireland)      |  Sites: LEI, HER, GRO, KUO, SZG, FRE, LYO, EVR  |  EU data stays in EU ✓</t>
  </si>
  <si>
    <t>Azure GermanyWestCentral (Frankfurt)</t>
  </si>
  <si>
    <t>→  AWS eu-central-1 (Frankfurt) |  Sites: FRI  |  German data stays in Germany (GDPR) ✓</t>
  </si>
  <si>
    <t>GDPR / Data Sovereignty</t>
  </si>
  <si>
    <t>No data crosses borders. UK data: eu-west-2 (London). German data: eu-central-1 (Frankfurt). All EU data in EU. S3 bucket region is enforced by SCP (Service Control Policy) blocking bucket creation in wrong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</si>
</sst>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00"/>
    <numFmt numFmtId="165" formatCode="\$0.0000"/>
    <numFmt numFmtId="166" formatCode="0.0%"/>
    <numFmt numFmtId="167" formatCode="\$#,##0"/>
    <numFmt numFmtId="168" formatCode="\$#,##0.00"/>
    <numFmt numFmtId="169" formatCode="\$0.00000"/>
    <numFmt numFmtId="170" formatCode="[$$-409]#,##0.00;[Red]\-[$$-409]#,##0.00"/>
    <numFmt numFmtId="171" formatCode="\$0.000"/>
    <numFmt numFmtId="172" formatCode="0.0"/>
    <numFmt numFmtId="173" formatCode="#,##0.0"/>
    <numFmt numFmtId="174" formatCode="0.0&quot; months&quot;"/>
  </numFmts>
  <fonts count="49" x14ac:knownFonts="1">
    <font>
      <sz val="11"/>
      <color theme="1"/>
      <name val="Calibri"/>
      <family val="2"/>
      <charset val="1"/>
    </font>
    <font>
      <b/>
      <sz val="14"/>
      <color rgb="FFFFFFFF"/>
      <name val="Arial"/>
      <charset val="1"/>
    </font>
    <font>
      <i/>
      <sz val="9"/>
      <color rgb="FF555555"/>
      <name val="Arial"/>
      <charset val="1"/>
    </font>
    <font>
      <b/>
      <sz val="10"/>
      <color rgb="FFFFFFFF"/>
      <name val="Arial"/>
      <charset val="1"/>
    </font>
    <font>
      <b/>
      <sz val="9"/>
      <color rgb="FFFFFFFF"/>
      <name val="Arial"/>
      <charset val="1"/>
    </font>
    <font>
      <b/>
      <sz val="9"/>
      <color rgb="FF000000"/>
      <name val="Arial"/>
      <charset val="1"/>
    </font>
    <font>
      <sz val="9"/>
      <color rgb="FF000000"/>
      <name val="Arial"/>
      <charset val="1"/>
    </font>
    <font>
      <i/>
      <sz val="8"/>
      <color rgb="FF888888"/>
      <name val="Arial"/>
      <charset val="1"/>
    </font>
    <font>
      <b/>
      <sz val="13"/>
      <color rgb="FFFFFFFF"/>
      <name val="Arial"/>
      <charset val="1"/>
    </font>
    <font>
      <sz val="8"/>
      <color rgb="FF666666"/>
      <name val="Arial"/>
      <charset val="1"/>
    </font>
    <font>
      <sz val="9"/>
      <color rgb="FF595959"/>
      <name val="Arial"/>
      <charset val="1"/>
    </font>
    <font>
      <sz val="9"/>
      <color rgb="FF0000FF"/>
      <name val="Arial"/>
      <charset val="1"/>
    </font>
    <font>
      <sz val="8"/>
      <color rgb="FF555555"/>
      <name val="Arial"/>
      <charset val="1"/>
    </font>
    <font>
      <b/>
      <sz val="9"/>
      <color rgb="FF4A235A"/>
      <name val="Arial"/>
      <charset val="1"/>
    </font>
    <font>
      <sz val="9"/>
      <color rgb="FF4A235A"/>
      <name val="Arial"/>
      <charset val="1"/>
    </font>
    <font>
      <sz val="9"/>
      <color rgb="FFAAAAAA"/>
      <name val="Arial"/>
      <charset val="1"/>
    </font>
    <font>
      <b/>
      <sz val="9"/>
      <color rgb="FFFFFF00"/>
      <name val="Arial"/>
      <charset val="1"/>
    </font>
    <font>
      <sz val="9"/>
      <color rgb="FFFFFFFF"/>
      <name val="Arial"/>
      <charset val="1"/>
    </font>
    <font>
      <sz val="8"/>
      <color rgb="FFAAAAAA"/>
      <name val="Arial"/>
      <charset val="1"/>
    </font>
    <font>
      <b/>
      <sz val="17"/>
      <color rgb="FF1F3864"/>
      <name val="Arial"/>
      <charset val="1"/>
    </font>
    <font>
      <b/>
      <sz val="17"/>
      <color rgb="FF375623"/>
      <name val="Arial"/>
      <charset val="1"/>
    </font>
    <font>
      <b/>
      <sz val="17"/>
      <color rgb="FF843C0C"/>
      <name val="Arial"/>
      <charset val="1"/>
    </font>
    <font>
      <b/>
      <sz val="17"/>
      <color rgb="FF7030A0"/>
      <name val="Arial"/>
      <charset val="1"/>
    </font>
    <font>
      <sz val="8"/>
      <color rgb="FF444444"/>
      <name val="Arial"/>
      <charset val="1"/>
    </font>
    <font>
      <sz val="8"/>
      <color rgb="FF888888"/>
      <name val="Arial"/>
      <charset val="1"/>
    </font>
    <font>
      <b/>
      <sz val="8"/>
      <color rgb="FFFFFFFF"/>
      <name val="Arial"/>
      <charset val="1"/>
    </font>
    <font>
      <b/>
      <sz val="11"/>
      <color rgb="FFFFFFFF"/>
      <name val="Arial"/>
      <charset val="1"/>
    </font>
    <font>
      <b/>
      <sz val="9"/>
      <color rgb="FF8B0000"/>
      <name val="Arial"/>
      <charset val="1"/>
    </font>
    <font>
      <sz val="9"/>
      <color rgb="FF8B0000"/>
      <name val="Arial"/>
      <charset val="1"/>
    </font>
    <font>
      <sz val="8"/>
      <color rgb="FF8B0000"/>
      <name val="Arial"/>
      <charset val="1"/>
    </font>
    <font>
      <b/>
      <sz val="11"/>
      <color rgb="FFFFFF00"/>
      <name val="Arial"/>
      <charset val="1"/>
    </font>
    <font>
      <sz val="8"/>
      <color rgb="FF000000"/>
      <name val="Arial"/>
      <charset val="1"/>
    </font>
    <font>
      <i/>
      <sz val="8"/>
      <color rgb="FF444444"/>
      <name val="Arial"/>
      <charset val="1"/>
    </font>
    <font>
      <b/>
      <sz val="13"/>
      <color rgb="FFFFFF00"/>
      <name val="Arial"/>
      <charset val="1"/>
    </font>
    <font>
      <b/>
      <sz val="9"/>
      <color rgb="FF375623"/>
      <name val="Arial"/>
      <charset val="1"/>
    </font>
    <font>
      <b/>
      <sz val="10"/>
      <color rgb="FFFFFF00"/>
      <name val="Arial"/>
      <charset val="1"/>
    </font>
    <font>
      <sz val="8"/>
      <color rgb="FFC00000"/>
      <name val="Arial"/>
      <charset val="1"/>
    </font>
    <font>
      <b/>
      <sz val="8"/>
      <color rgb="FF000000"/>
      <name val="Arial"/>
      <charset val="1"/>
    </font>
    <font>
      <b/>
      <sz val="14"/>
      <color rgb="FF375623"/>
      <name val="Arial"/>
      <charset val="1"/>
    </font>
    <font>
      <b/>
      <sz val="8"/>
      <color rgb="FF1F3864"/>
      <name val="Arial"/>
      <charset val="1"/>
    </font>
    <font>
      <b/>
      <sz val="9"/>
      <color rgb="FF888888"/>
      <name val="Arial"/>
      <charset val="1"/>
    </font>
    <font>
      <sz val="9"/>
      <name val="Arial"/>
      <charset val="1"/>
    </font>
    <font>
      <sz val="9"/>
      <color rgb="FFC00000"/>
      <name val="Arial"/>
      <charset val="1"/>
    </font>
    <font>
      <sz val="9"/>
      <color rgb="FF375623"/>
      <name val="Arial"/>
      <charset val="1"/>
    </font>
    <font>
      <b/>
      <sz val="9"/>
      <color rgb="FFC00000"/>
      <name val="Arial"/>
      <charset val="1"/>
    </font>
    <font>
      <b/>
      <sz val="8"/>
      <color rgb="FF4A235A"/>
      <name val="Arial"/>
      <charset val="1"/>
    </font>
    <font>
      <sz val="9"/>
      <color rgb="FF0D5257"/>
      <name val="Arial"/>
      <charset val="1"/>
    </font>
    <font>
      <b/>
      <sz val="9"/>
      <color rgb="FF0D5257"/>
      <name val="Arial"/>
      <charset val="1"/>
    </font>
    <font>
      <sz val="8"/>
      <color rgb="FF4A235A"/>
      <name val="Arial"/>
      <charset val="1"/>
    </font>
  </fonts>
  <fills count="23">
    <fill>
      <patternFill patternType="none"/>
    </fill>
    <fill>
      <patternFill patternType="gray125"/>
    </fill>
    <fill>
      <patternFill patternType="solid">
        <fgColor rgb="FF1F3864"/>
        <bgColor rgb="FF0D5257"/>
      </patternFill>
    </fill>
    <fill>
      <patternFill patternType="solid">
        <fgColor rgb="FFFFFDE7"/>
        <bgColor rgb="FFFFFFFF"/>
      </patternFill>
    </fill>
    <fill>
      <patternFill patternType="solid">
        <fgColor rgb="FFD6E4F7"/>
        <bgColor rgb="FFD0EDF0"/>
      </patternFill>
    </fill>
    <fill>
      <patternFill patternType="solid">
        <fgColor rgb="FFF2F2F2"/>
        <bgColor rgb="FFF5EEF8"/>
      </patternFill>
    </fill>
    <fill>
      <patternFill patternType="solid">
        <fgColor rgb="FFFFF2CC"/>
        <bgColor rgb="FFFFF0E0"/>
      </patternFill>
    </fill>
    <fill>
      <patternFill patternType="solid">
        <fgColor rgb="FFE2EFDA"/>
        <bgColor rgb="FFF2F2F2"/>
      </patternFill>
    </fill>
    <fill>
      <patternFill patternType="solid">
        <fgColor rgb="FFFFE0E0"/>
        <bgColor rgb="FFFCE4D6"/>
      </patternFill>
    </fill>
    <fill>
      <patternFill patternType="solid">
        <fgColor rgb="FFFFFFFF"/>
        <bgColor rgb="FFFFFDE7"/>
      </patternFill>
    </fill>
    <fill>
      <patternFill patternType="solid">
        <fgColor rgb="FF4A235A"/>
        <bgColor rgb="FF444444"/>
      </patternFill>
    </fill>
    <fill>
      <patternFill patternType="solid">
        <fgColor rgb="FF2E75B6"/>
        <bgColor rgb="FF2F5496"/>
      </patternFill>
    </fill>
    <fill>
      <patternFill patternType="solid">
        <fgColor rgb="FFFFFF00"/>
        <bgColor rgb="FFFFCC00"/>
      </patternFill>
    </fill>
    <fill>
      <patternFill patternType="solid">
        <fgColor rgb="FFC00000"/>
        <bgColor rgb="FF8B0000"/>
      </patternFill>
    </fill>
    <fill>
      <patternFill patternType="solid">
        <fgColor rgb="FF375623"/>
        <bgColor rgb="FF444444"/>
      </patternFill>
    </fill>
    <fill>
      <patternFill patternType="solid">
        <fgColor rgb="FFF5EEF8"/>
        <bgColor rgb="FFF2F2F2"/>
      </patternFill>
    </fill>
    <fill>
      <patternFill patternType="solid">
        <fgColor rgb="FF843C0C"/>
        <bgColor rgb="FF444444"/>
      </patternFill>
    </fill>
    <fill>
      <patternFill patternType="solid">
        <fgColor rgb="FF7030A0"/>
        <bgColor rgb="FF4A235A"/>
      </patternFill>
    </fill>
    <fill>
      <patternFill patternType="solid">
        <fgColor rgb="FFFCE4D6"/>
        <bgColor rgb="FFFFE0E0"/>
      </patternFill>
    </fill>
    <fill>
      <patternFill patternType="solid">
        <fgColor rgb="FFEDE7F6"/>
        <bgColor rgb="FFF5EEF8"/>
      </patternFill>
    </fill>
    <fill>
      <patternFill patternType="solid">
        <fgColor rgb="FFFFD7D7"/>
        <bgColor rgb="FFFFE0E0"/>
      </patternFill>
    </fill>
    <fill>
      <patternFill patternType="solid">
        <fgColor rgb="FFFFF0E0"/>
        <bgColor rgb="FFFFF2CC"/>
      </patternFill>
    </fill>
    <fill>
      <patternFill patternType="solid">
        <fgColor rgb="FFD0EDF0"/>
        <bgColor rgb="FFD6E4F7"/>
      </patternFill>
    </fill>
  </fills>
  <borders count="8">
    <border>
      <left/>
      <right/>
      <top/>
      <bottom/>
      <diagonal/>
    </border>
    <border>
      <left style="medium">
        <color rgb="FF2F5496"/>
      </left>
      <right/>
      <top style="medium">
        <color rgb="FF2F5496"/>
      </top>
      <bottom style="medium">
        <color rgb="FF2F5496"/>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bottom style="thin">
        <color rgb="FFBFBFBF"/>
      </bottom>
      <diagonal/>
    </border>
    <border>
      <left style="medium">
        <color rgb="FF2F5496"/>
      </left>
      <right style="medium">
        <color rgb="FF2F5496"/>
      </right>
      <top style="medium">
        <color rgb="FF2F5496"/>
      </top>
      <bottom style="medium">
        <color rgb="FF2F5496"/>
      </bottom>
      <diagonal/>
    </border>
    <border>
      <left/>
      <right style="thin">
        <color rgb="FFBFBFBF"/>
      </right>
      <top style="thin">
        <color rgb="FFBFBFBF"/>
      </top>
      <bottom style="thin">
        <color rgb="FFBFBFBF"/>
      </bottom>
      <diagonal/>
    </border>
  </borders>
  <cellStyleXfs count="1">
    <xf numFmtId="0" fontId="0" fillId="0" borderId="0"/>
  </cellStyleXfs>
  <cellXfs count="296">
    <xf numFmtId="0" fontId="0" fillId="0" borderId="0" xfId="0"/>
    <xf numFmtId="0" fontId="4"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6" fillId="5" borderId="3" xfId="0" applyFont="1" applyFill="1" applyBorder="1" applyAlignment="1">
      <alignment horizontal="left" vertical="top" wrapText="1"/>
    </xf>
    <xf numFmtId="0" fontId="5" fillId="6" borderId="3" xfId="0" applyFont="1" applyFill="1" applyBorder="1" applyAlignment="1">
      <alignment horizontal="left" vertical="center" wrapText="1"/>
    </xf>
    <xf numFmtId="0" fontId="6" fillId="7" borderId="3" xfId="0" applyFont="1" applyFill="1" applyBorder="1" applyAlignment="1">
      <alignment horizontal="left" vertical="top" wrapText="1"/>
    </xf>
    <xf numFmtId="0" fontId="5" fillId="7" borderId="3" xfId="0" applyFont="1" applyFill="1" applyBorder="1" applyAlignment="1">
      <alignment horizontal="left" vertical="center" wrapText="1"/>
    </xf>
    <xf numFmtId="0" fontId="5" fillId="8" borderId="3" xfId="0" applyFont="1" applyFill="1" applyBorder="1" applyAlignment="1">
      <alignment horizontal="left" vertical="center" wrapText="1"/>
    </xf>
    <xf numFmtId="0" fontId="6" fillId="9" borderId="3" xfId="0" applyFont="1" applyFill="1" applyBorder="1" applyAlignment="1">
      <alignment horizontal="left" vertical="top" wrapText="1"/>
    </xf>
    <xf numFmtId="0" fontId="7" fillId="5" borderId="2" xfId="0" applyFont="1" applyFill="1" applyBorder="1" applyAlignment="1">
      <alignment horizontal="left" vertical="center" wrapText="1"/>
    </xf>
    <xf numFmtId="0" fontId="0" fillId="0" borderId="4" xfId="0" applyBorder="1"/>
    <xf numFmtId="0" fontId="4" fillId="11" borderId="3" xfId="0" applyFont="1" applyFill="1" applyBorder="1" applyAlignment="1">
      <alignment horizontal="center" vertical="center" wrapText="1"/>
    </xf>
    <xf numFmtId="0" fontId="10" fillId="5" borderId="3" xfId="0" applyFont="1" applyFill="1" applyBorder="1" applyAlignment="1">
      <alignment horizontal="center" vertical="center" wrapText="1"/>
    </xf>
    <xf numFmtId="4" fontId="11" fillId="12" borderId="3" xfId="0" applyNumberFormat="1" applyFont="1" applyFill="1" applyBorder="1" applyAlignment="1">
      <alignment horizontal="center" vertical="center" wrapText="1"/>
    </xf>
    <xf numFmtId="0" fontId="6" fillId="5" borderId="3"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6" fillId="9" borderId="3" xfId="0" applyFont="1" applyFill="1" applyBorder="1" applyAlignment="1">
      <alignment horizontal="center" vertical="center" wrapText="1"/>
    </xf>
    <xf numFmtId="164" fontId="11" fillId="12" borderId="3" xfId="0" applyNumberFormat="1" applyFont="1" applyFill="1" applyBorder="1" applyAlignment="1">
      <alignment horizontal="center" vertical="center" wrapText="1"/>
    </xf>
    <xf numFmtId="4" fontId="6" fillId="9" borderId="3" xfId="0" applyNumberFormat="1" applyFont="1" applyFill="1" applyBorder="1" applyAlignment="1">
      <alignment horizontal="center" vertical="center" wrapText="1"/>
    </xf>
    <xf numFmtId="0" fontId="10" fillId="7" borderId="3" xfId="0" applyFont="1" applyFill="1" applyBorder="1" applyAlignment="1">
      <alignment horizontal="center" vertical="center" wrapText="1"/>
    </xf>
    <xf numFmtId="4" fontId="6" fillId="7" borderId="3" xfId="0" applyNumberFormat="1" applyFont="1" applyFill="1" applyBorder="1" applyAlignment="1">
      <alignment horizontal="center" vertical="center" wrapText="1"/>
    </xf>
    <xf numFmtId="0" fontId="6" fillId="7" borderId="3" xfId="0" applyFont="1" applyFill="1" applyBorder="1" applyAlignment="1">
      <alignment horizontal="center" vertical="center" wrapText="1"/>
    </xf>
    <xf numFmtId="0" fontId="4" fillId="13" borderId="3" xfId="0" applyFont="1" applyFill="1" applyBorder="1" applyAlignment="1">
      <alignment horizontal="center" vertical="center" wrapText="1"/>
    </xf>
    <xf numFmtId="165" fontId="11" fillId="12" borderId="3" xfId="0" applyNumberFormat="1" applyFont="1" applyFill="1" applyBorder="1" applyAlignment="1">
      <alignment horizontal="center" vertical="center" wrapText="1"/>
    </xf>
    <xf numFmtId="0" fontId="10" fillId="8" borderId="3" xfId="0" applyFont="1" applyFill="1" applyBorder="1" applyAlignment="1">
      <alignment horizontal="center" vertical="center" wrapText="1"/>
    </xf>
    <xf numFmtId="0" fontId="6" fillId="8" borderId="3" xfId="0" applyFont="1" applyFill="1" applyBorder="1" applyAlignment="1">
      <alignment horizontal="center" vertical="center" wrapText="1"/>
    </xf>
    <xf numFmtId="166" fontId="11" fillId="12" borderId="3" xfId="0" applyNumberFormat="1" applyFont="1" applyFill="1" applyBorder="1" applyAlignment="1">
      <alignment horizontal="center" vertical="center" wrapText="1"/>
    </xf>
    <xf numFmtId="0" fontId="4" fillId="14" borderId="3" xfId="0" applyFont="1" applyFill="1" applyBorder="1" applyAlignment="1">
      <alignment horizontal="center" vertical="center" wrapText="1"/>
    </xf>
    <xf numFmtId="167" fontId="11" fillId="12" borderId="3" xfId="0" applyNumberFormat="1" applyFont="1" applyFill="1" applyBorder="1" applyAlignment="1">
      <alignment horizontal="center" vertical="center" wrapText="1"/>
    </xf>
    <xf numFmtId="3" fontId="11" fillId="12" borderId="3" xfId="0" applyNumberFormat="1" applyFont="1" applyFill="1" applyBorder="1" applyAlignment="1">
      <alignment horizontal="center" vertical="center" wrapText="1"/>
    </xf>
    <xf numFmtId="0" fontId="13" fillId="15" borderId="3" xfId="0" applyFont="1" applyFill="1" applyBorder="1" applyAlignment="1">
      <alignment horizontal="left" vertical="center" wrapText="1"/>
    </xf>
    <xf numFmtId="168" fontId="14" fillId="15" borderId="3" xfId="0" applyNumberFormat="1" applyFont="1" applyFill="1" applyBorder="1" applyAlignment="1">
      <alignment horizontal="center" vertical="center" wrapText="1"/>
    </xf>
    <xf numFmtId="0" fontId="6" fillId="15"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15" fillId="2" borderId="3" xfId="0" applyFont="1" applyFill="1" applyBorder="1" applyAlignment="1">
      <alignment horizontal="center" vertical="center" wrapText="1"/>
    </xf>
    <xf numFmtId="168" fontId="16" fillId="2" borderId="3" xfId="0" applyNumberFormat="1" applyFont="1" applyFill="1" applyBorder="1" applyAlignment="1">
      <alignment horizontal="center" vertical="center" wrapText="1"/>
    </xf>
    <xf numFmtId="0" fontId="17" fillId="2" borderId="3" xfId="0" applyFont="1" applyFill="1" applyBorder="1" applyAlignment="1">
      <alignment horizontal="center" vertical="center" wrapText="1"/>
    </xf>
    <xf numFmtId="0" fontId="18" fillId="2" borderId="2" xfId="0" applyFont="1" applyFill="1" applyBorder="1" applyAlignment="1">
      <alignment horizontal="left" vertical="center" wrapText="1"/>
    </xf>
    <xf numFmtId="0" fontId="6" fillId="5" borderId="3" xfId="0" applyFont="1" applyFill="1" applyBorder="1"/>
    <xf numFmtId="4" fontId="6" fillId="5" borderId="3" xfId="0" applyNumberFormat="1" applyFont="1" applyFill="1" applyBorder="1" applyAlignment="1">
      <alignment horizontal="center" vertical="center" wrapText="1"/>
    </xf>
    <xf numFmtId="0" fontId="4" fillId="16"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24" fillId="5" borderId="3" xfId="0" applyFont="1" applyFill="1" applyBorder="1" applyAlignment="1">
      <alignment horizontal="center" vertical="center" wrapText="1"/>
    </xf>
    <xf numFmtId="168" fontId="11" fillId="12" borderId="3" xfId="0" applyNumberFormat="1" applyFont="1" applyFill="1" applyBorder="1" applyAlignment="1">
      <alignment horizontal="center" vertical="center" wrapText="1"/>
    </xf>
    <xf numFmtId="168" fontId="6" fillId="7" borderId="3" xfId="0" applyNumberFormat="1" applyFont="1" applyFill="1" applyBorder="1" applyAlignment="1">
      <alignment horizontal="center" vertical="center" wrapText="1"/>
    </xf>
    <xf numFmtId="0" fontId="5" fillId="9" borderId="3" xfId="0" applyFont="1" applyFill="1" applyBorder="1" applyAlignment="1">
      <alignment horizontal="left" vertical="center" wrapText="1"/>
    </xf>
    <xf numFmtId="0" fontId="6" fillId="9" borderId="3" xfId="0" applyFont="1" applyFill="1" applyBorder="1" applyAlignment="1">
      <alignment horizontal="left" vertical="center" wrapText="1"/>
    </xf>
    <xf numFmtId="0" fontId="24" fillId="9"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4" fontId="3" fillId="2" borderId="3" xfId="0" applyNumberFormat="1" applyFont="1" applyFill="1" applyBorder="1" applyAlignment="1">
      <alignment horizontal="center" vertical="center" wrapText="1"/>
    </xf>
    <xf numFmtId="0" fontId="25" fillId="2" borderId="3" xfId="0" applyFont="1" applyFill="1" applyBorder="1" applyAlignment="1">
      <alignment horizontal="center" vertical="center" wrapText="1"/>
    </xf>
    <xf numFmtId="168" fontId="3" fillId="2" borderId="3" xfId="0" applyNumberFormat="1" applyFont="1" applyFill="1" applyBorder="1" applyAlignment="1">
      <alignment horizontal="center" vertical="center" wrapText="1"/>
    </xf>
    <xf numFmtId="0" fontId="0" fillId="2" borderId="3" xfId="0" applyFill="1" applyBorder="1" applyAlignment="1">
      <alignment horizontal="center" vertical="center" wrapText="1"/>
    </xf>
    <xf numFmtId="0" fontId="6" fillId="2" borderId="3" xfId="0" applyFont="1" applyFill="1" applyBorder="1"/>
    <xf numFmtId="10" fontId="6" fillId="9" borderId="3" xfId="0" applyNumberFormat="1" applyFont="1" applyFill="1" applyBorder="1" applyAlignment="1">
      <alignment horizontal="center" vertical="center" wrapText="1"/>
    </xf>
    <xf numFmtId="165" fontId="6" fillId="9" borderId="3" xfId="0" applyNumberFormat="1" applyFont="1" applyFill="1" applyBorder="1" applyAlignment="1">
      <alignment horizontal="center" vertical="center" wrapText="1"/>
    </xf>
    <xf numFmtId="10" fontId="6" fillId="5" borderId="3" xfId="0" applyNumberFormat="1" applyFont="1" applyFill="1" applyBorder="1" applyAlignment="1">
      <alignment horizontal="center" vertical="center" wrapText="1"/>
    </xf>
    <xf numFmtId="165" fontId="6" fillId="5" borderId="3" xfId="0" applyNumberFormat="1"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0" fontId="6" fillId="9" borderId="0" xfId="0" applyFont="1" applyFill="1"/>
    <xf numFmtId="0" fontId="24" fillId="5" borderId="3" xfId="0" applyFont="1" applyFill="1" applyBorder="1" applyAlignment="1">
      <alignment horizontal="left" vertical="center" wrapText="1"/>
    </xf>
    <xf numFmtId="169" fontId="6" fillId="5" borderId="3" xfId="0" applyNumberFormat="1" applyFont="1" applyFill="1" applyBorder="1" applyAlignment="1">
      <alignment horizontal="center" vertical="center" wrapText="1"/>
    </xf>
    <xf numFmtId="166" fontId="6" fillId="5" borderId="3" xfId="0" applyNumberFormat="1" applyFont="1" applyFill="1" applyBorder="1" applyAlignment="1">
      <alignment horizontal="center" vertical="center" wrapText="1"/>
    </xf>
    <xf numFmtId="165" fontId="24" fillId="5" borderId="3" xfId="0" applyNumberFormat="1" applyFont="1" applyFill="1" applyBorder="1" applyAlignment="1">
      <alignment horizontal="left" vertical="center" wrapText="1"/>
    </xf>
    <xf numFmtId="0" fontId="12" fillId="5" borderId="3" xfId="0" applyFont="1" applyFill="1" applyBorder="1" applyAlignment="1">
      <alignment horizontal="left" vertical="center" wrapText="1"/>
    </xf>
    <xf numFmtId="165" fontId="24" fillId="9" borderId="3" xfId="0" applyNumberFormat="1" applyFont="1" applyFill="1" applyBorder="1" applyAlignment="1">
      <alignment horizontal="left" vertical="center" wrapText="1"/>
    </xf>
    <xf numFmtId="169" fontId="6" fillId="9" borderId="3" xfId="0" applyNumberFormat="1" applyFont="1" applyFill="1" applyBorder="1" applyAlignment="1">
      <alignment horizontal="center" vertical="center" wrapText="1"/>
    </xf>
    <xf numFmtId="170" fontId="24" fillId="9" borderId="3" xfId="0" applyNumberFormat="1" applyFont="1" applyFill="1" applyBorder="1" applyAlignment="1">
      <alignment horizontal="left" vertical="center" wrapText="1"/>
    </xf>
    <xf numFmtId="166" fontId="6" fillId="9" borderId="3" xfId="0" applyNumberFormat="1" applyFont="1" applyFill="1" applyBorder="1" applyAlignment="1">
      <alignment horizontal="center" vertical="center" wrapText="1"/>
    </xf>
    <xf numFmtId="0" fontId="12" fillId="9" borderId="3" xfId="0" applyFont="1" applyFill="1" applyBorder="1" applyAlignment="1">
      <alignment horizontal="left" vertical="center" wrapText="1"/>
    </xf>
    <xf numFmtId="170" fontId="24" fillId="5" borderId="3" xfId="0" applyNumberFormat="1" applyFont="1" applyFill="1" applyBorder="1" applyAlignment="1">
      <alignment horizontal="left" vertical="center" wrapText="1"/>
    </xf>
    <xf numFmtId="0" fontId="24" fillId="9" borderId="3" xfId="0" applyFont="1" applyFill="1" applyBorder="1" applyAlignment="1">
      <alignment horizontal="left" vertical="center" wrapText="1"/>
    </xf>
    <xf numFmtId="168" fontId="6" fillId="8" borderId="3" xfId="0" applyNumberFormat="1" applyFont="1" applyFill="1" applyBorder="1" applyAlignment="1">
      <alignment horizontal="center" vertical="center" wrapText="1"/>
    </xf>
    <xf numFmtId="0" fontId="24" fillId="8" borderId="3" xfId="0" applyFont="1" applyFill="1" applyBorder="1" applyAlignment="1">
      <alignment horizontal="left" vertical="center" wrapText="1"/>
    </xf>
    <xf numFmtId="0" fontId="24" fillId="7" borderId="3" xfId="0" applyFont="1" applyFill="1" applyBorder="1" applyAlignment="1">
      <alignment horizontal="left" vertical="center" wrapText="1"/>
    </xf>
    <xf numFmtId="168" fontId="6" fillId="6" borderId="3" xfId="0" applyNumberFormat="1" applyFont="1" applyFill="1" applyBorder="1" applyAlignment="1">
      <alignment horizontal="center" vertical="center" wrapText="1"/>
    </xf>
    <xf numFmtId="0" fontId="24" fillId="6" borderId="3" xfId="0" applyFont="1" applyFill="1" applyBorder="1" applyAlignment="1">
      <alignment horizontal="left" vertical="center" wrapText="1"/>
    </xf>
    <xf numFmtId="0" fontId="6" fillId="9" borderId="3" xfId="0" applyFont="1" applyFill="1" applyBorder="1"/>
    <xf numFmtId="3" fontId="6" fillId="9" borderId="3" xfId="0" applyNumberFormat="1" applyFont="1" applyFill="1" applyBorder="1" applyAlignment="1">
      <alignment horizontal="center" vertical="center" wrapText="1"/>
    </xf>
    <xf numFmtId="168" fontId="6" fillId="9" borderId="3" xfId="0" applyNumberFormat="1" applyFont="1" applyFill="1" applyBorder="1" applyAlignment="1">
      <alignment horizontal="center" vertical="center" wrapText="1"/>
    </xf>
    <xf numFmtId="168" fontId="5" fillId="7" borderId="3" xfId="0" applyNumberFormat="1" applyFont="1" applyFill="1" applyBorder="1" applyAlignment="1">
      <alignment horizontal="center" vertical="center" wrapText="1"/>
    </xf>
    <xf numFmtId="168" fontId="23" fillId="9" borderId="3" xfId="0" applyNumberFormat="1" applyFont="1" applyFill="1" applyBorder="1" applyAlignment="1">
      <alignment horizontal="left" vertical="center" wrapText="1"/>
    </xf>
    <xf numFmtId="168" fontId="6" fillId="9" borderId="3" xfId="0" applyNumberFormat="1" applyFont="1" applyFill="1" applyBorder="1"/>
    <xf numFmtId="3" fontId="6" fillId="5" borderId="3" xfId="0" applyNumberFormat="1" applyFont="1" applyFill="1" applyBorder="1" applyAlignment="1">
      <alignment horizontal="center" vertical="center" wrapText="1"/>
    </xf>
    <xf numFmtId="168" fontId="6" fillId="5" borderId="3" xfId="0" applyNumberFormat="1" applyFont="1" applyFill="1" applyBorder="1" applyAlignment="1">
      <alignment horizontal="center" vertical="center" wrapText="1"/>
    </xf>
    <xf numFmtId="168" fontId="23" fillId="5" borderId="3" xfId="0" applyNumberFormat="1" applyFont="1" applyFill="1" applyBorder="1" applyAlignment="1">
      <alignment horizontal="left" vertical="center" wrapText="1"/>
    </xf>
    <xf numFmtId="165" fontId="6" fillId="9" borderId="3" xfId="0" applyNumberFormat="1" applyFont="1" applyFill="1" applyBorder="1"/>
    <xf numFmtId="3" fontId="6" fillId="9" borderId="3" xfId="0" applyNumberFormat="1" applyFont="1" applyFill="1" applyBorder="1"/>
    <xf numFmtId="0" fontId="3" fillId="14" borderId="3" xfId="0" applyFont="1" applyFill="1" applyBorder="1" applyAlignment="1">
      <alignment horizontal="left" vertical="center" wrapText="1"/>
    </xf>
    <xf numFmtId="168" fontId="26" fillId="14" borderId="3" xfId="0" applyNumberFormat="1" applyFont="1" applyFill="1" applyBorder="1" applyAlignment="1">
      <alignment horizontal="center" vertical="center" wrapText="1"/>
    </xf>
    <xf numFmtId="168" fontId="6" fillId="14" borderId="3" xfId="0" applyNumberFormat="1" applyFont="1" applyFill="1" applyBorder="1" applyAlignment="1">
      <alignment horizontal="center" vertical="center" wrapText="1"/>
    </xf>
    <xf numFmtId="166" fontId="6" fillId="8" borderId="3" xfId="0" applyNumberFormat="1" applyFont="1" applyFill="1" applyBorder="1" applyAlignment="1">
      <alignment horizontal="center" vertical="center" wrapText="1"/>
    </xf>
    <xf numFmtId="0" fontId="12" fillId="8" borderId="3" xfId="0" applyFont="1" applyFill="1" applyBorder="1" applyAlignment="1">
      <alignment horizontal="left" vertical="center" wrapText="1"/>
    </xf>
    <xf numFmtId="0" fontId="27" fillId="20" borderId="3" xfId="0" applyFont="1" applyFill="1" applyBorder="1" applyAlignment="1">
      <alignment horizontal="left" vertical="center" wrapText="1"/>
    </xf>
    <xf numFmtId="168" fontId="27" fillId="20" borderId="3" xfId="0" applyNumberFormat="1" applyFont="1" applyFill="1" applyBorder="1" applyAlignment="1">
      <alignment horizontal="center" vertical="center" wrapText="1"/>
    </xf>
    <xf numFmtId="168" fontId="28" fillId="20" borderId="3" xfId="0" applyNumberFormat="1" applyFont="1" applyFill="1" applyBorder="1" applyAlignment="1">
      <alignment horizontal="center" vertical="center" wrapText="1"/>
    </xf>
    <xf numFmtId="0" fontId="6" fillId="20" borderId="3" xfId="0" applyFont="1" applyFill="1" applyBorder="1" applyAlignment="1">
      <alignment horizontal="center" vertical="center" wrapText="1"/>
    </xf>
    <xf numFmtId="0" fontId="29" fillId="20" borderId="3" xfId="0" applyFont="1" applyFill="1" applyBorder="1" applyAlignment="1">
      <alignment horizontal="left" vertical="center" wrapText="1"/>
    </xf>
    <xf numFmtId="168" fontId="30" fillId="2" borderId="3" xfId="0" applyNumberFormat="1" applyFont="1" applyFill="1" applyBorder="1" applyAlignment="1">
      <alignment horizontal="center" vertical="center" wrapText="1"/>
    </xf>
    <xf numFmtId="168" fontId="4" fillId="2" borderId="3" xfId="0" applyNumberFormat="1" applyFont="1" applyFill="1" applyBorder="1" applyAlignment="1">
      <alignment horizontal="center" vertical="center" wrapText="1"/>
    </xf>
    <xf numFmtId="166" fontId="25" fillId="2" borderId="3" xfId="0" applyNumberFormat="1" applyFont="1" applyFill="1" applyBorder="1" applyAlignment="1">
      <alignment horizontal="left" vertical="center" wrapText="1"/>
    </xf>
    <xf numFmtId="0" fontId="25" fillId="2" borderId="3" xfId="0" applyFont="1" applyFill="1" applyBorder="1" applyAlignment="1">
      <alignment horizontal="left" vertical="center" wrapText="1"/>
    </xf>
    <xf numFmtId="166" fontId="6" fillId="7" borderId="3" xfId="0" applyNumberFormat="1" applyFont="1" applyFill="1" applyBorder="1" applyAlignment="1">
      <alignment horizontal="center" vertical="center" wrapText="1"/>
    </xf>
    <xf numFmtId="0" fontId="31" fillId="7" borderId="3" xfId="0" applyFont="1" applyFill="1" applyBorder="1" applyAlignment="1">
      <alignment horizontal="left" vertical="center" wrapText="1"/>
    </xf>
    <xf numFmtId="168" fontId="30" fillId="14" borderId="3" xfId="0" applyNumberFormat="1" applyFont="1" applyFill="1" applyBorder="1" applyAlignment="1">
      <alignment horizontal="center" vertical="center" wrapText="1"/>
    </xf>
    <xf numFmtId="166" fontId="30" fillId="14" borderId="3" xfId="0" applyNumberFormat="1" applyFont="1" applyFill="1" applyBorder="1" applyAlignment="1">
      <alignment horizontal="center" vertical="center" wrapText="1"/>
    </xf>
    <xf numFmtId="0" fontId="31" fillId="14" borderId="3" xfId="0" applyFont="1" applyFill="1" applyBorder="1" applyAlignment="1">
      <alignment horizontal="left" vertical="center" wrapText="1"/>
    </xf>
    <xf numFmtId="166" fontId="6" fillId="9" borderId="0" xfId="0" applyNumberFormat="1" applyFont="1" applyFill="1"/>
    <xf numFmtId="168" fontId="24" fillId="9" borderId="3" xfId="0" applyNumberFormat="1" applyFont="1" applyFill="1" applyBorder="1" applyAlignment="1">
      <alignment horizontal="left" vertical="center" wrapText="1"/>
    </xf>
    <xf numFmtId="168" fontId="24" fillId="5" borderId="3" xfId="0" applyNumberFormat="1" applyFont="1" applyFill="1" applyBorder="1" applyAlignment="1">
      <alignment horizontal="left" vertical="center" wrapText="1"/>
    </xf>
    <xf numFmtId="165" fontId="6" fillId="12" borderId="3" xfId="0" applyNumberFormat="1" applyFont="1" applyFill="1" applyBorder="1" applyAlignment="1">
      <alignment horizontal="center" vertical="center" wrapText="1"/>
    </xf>
    <xf numFmtId="168" fontId="26" fillId="17" borderId="3" xfId="0" applyNumberFormat="1" applyFont="1" applyFill="1" applyBorder="1" applyAlignment="1">
      <alignment horizontal="center" vertical="center" wrapText="1"/>
    </xf>
    <xf numFmtId="171" fontId="6" fillId="12" borderId="3" xfId="0" applyNumberFormat="1" applyFont="1" applyFill="1" applyBorder="1" applyAlignment="1">
      <alignment horizontal="center" vertical="center" wrapText="1"/>
    </xf>
    <xf numFmtId="168" fontId="5" fillId="12" borderId="3" xfId="0" applyNumberFormat="1" applyFont="1" applyFill="1" applyBorder="1" applyAlignment="1">
      <alignment horizontal="center" vertical="center" wrapText="1"/>
    </xf>
    <xf numFmtId="0" fontId="31" fillId="8" borderId="3" xfId="0" applyFont="1" applyFill="1" applyBorder="1" applyAlignment="1">
      <alignment horizontal="left" vertical="center" wrapText="1"/>
    </xf>
    <xf numFmtId="168" fontId="26" fillId="13" borderId="3" xfId="0" applyNumberFormat="1" applyFont="1" applyFill="1" applyBorder="1" applyAlignment="1">
      <alignment horizontal="center" vertical="center" wrapText="1"/>
    </xf>
    <xf numFmtId="0" fontId="4" fillId="13" borderId="3" xfId="0" applyFont="1" applyFill="1" applyBorder="1" applyAlignment="1">
      <alignment horizontal="left" vertical="center" wrapText="1"/>
    </xf>
    <xf numFmtId="171" fontId="6" fillId="5" borderId="3" xfId="0" applyNumberFormat="1" applyFont="1" applyFill="1" applyBorder="1" applyAlignment="1">
      <alignment horizontal="center" vertical="center" wrapText="1"/>
    </xf>
    <xf numFmtId="171" fontId="6" fillId="9" borderId="3" xfId="0" applyNumberFormat="1" applyFont="1" applyFill="1" applyBorder="1" applyAlignment="1">
      <alignment horizontal="center" vertical="center" wrapText="1"/>
    </xf>
    <xf numFmtId="3" fontId="6" fillId="7" borderId="3" xfId="0" applyNumberFormat="1" applyFont="1" applyFill="1" applyBorder="1" applyAlignment="1">
      <alignment horizontal="center" vertical="center" wrapText="1"/>
    </xf>
    <xf numFmtId="171" fontId="6" fillId="7" borderId="3" xfId="0" applyNumberFormat="1" applyFont="1" applyFill="1" applyBorder="1" applyAlignment="1">
      <alignment horizontal="center" vertical="center" wrapText="1"/>
    </xf>
    <xf numFmtId="168" fontId="24" fillId="7" borderId="3" xfId="0" applyNumberFormat="1" applyFont="1" applyFill="1" applyBorder="1" applyAlignment="1">
      <alignment horizontal="left" vertical="center" wrapText="1"/>
    </xf>
    <xf numFmtId="0" fontId="12" fillId="7" borderId="3" xfId="0" applyFont="1" applyFill="1" applyBorder="1" applyAlignment="1">
      <alignment horizontal="left" vertical="center" wrapText="1"/>
    </xf>
    <xf numFmtId="3" fontId="6" fillId="8" borderId="3" xfId="0" applyNumberFormat="1" applyFont="1" applyFill="1" applyBorder="1" applyAlignment="1">
      <alignment horizontal="center" vertical="center" wrapText="1"/>
    </xf>
    <xf numFmtId="171" fontId="6" fillId="8" borderId="3" xfId="0" applyNumberFormat="1" applyFont="1" applyFill="1" applyBorder="1" applyAlignment="1">
      <alignment horizontal="center" vertical="center" wrapText="1"/>
    </xf>
    <xf numFmtId="171" fontId="24" fillId="8" borderId="3" xfId="0" applyNumberFormat="1" applyFont="1" applyFill="1" applyBorder="1" applyAlignment="1">
      <alignment horizontal="left" vertical="center" wrapText="1"/>
    </xf>
    <xf numFmtId="0" fontId="31" fillId="5" borderId="3" xfId="0" applyFont="1" applyFill="1" applyBorder="1" applyAlignment="1">
      <alignment horizontal="left" vertical="center" wrapText="1"/>
    </xf>
    <xf numFmtId="4" fontId="11" fillId="5" borderId="3" xfId="0" applyNumberFormat="1" applyFont="1" applyFill="1" applyBorder="1" applyAlignment="1">
      <alignment horizontal="center" vertical="center" wrapText="1"/>
    </xf>
    <xf numFmtId="4" fontId="11" fillId="9" borderId="3" xfId="0" applyNumberFormat="1" applyFont="1" applyFill="1" applyBorder="1" applyAlignment="1">
      <alignment horizontal="center" vertical="center" wrapText="1"/>
    </xf>
    <xf numFmtId="168" fontId="26" fillId="11" borderId="3" xfId="0" applyNumberFormat="1" applyFont="1" applyFill="1" applyBorder="1" applyAlignment="1">
      <alignment horizontal="center" vertical="center" wrapText="1"/>
    </xf>
    <xf numFmtId="168" fontId="33" fillId="2" borderId="6" xfId="0" applyNumberFormat="1" applyFont="1" applyFill="1" applyBorder="1" applyAlignment="1">
      <alignment horizontal="center" vertical="center" wrapText="1"/>
    </xf>
    <xf numFmtId="0" fontId="6" fillId="7" borderId="3" xfId="0" applyFont="1" applyFill="1" applyBorder="1" applyAlignment="1">
      <alignment horizontal="left" vertical="center" wrapText="1"/>
    </xf>
    <xf numFmtId="168" fontId="34" fillId="7" borderId="3" xfId="0" applyNumberFormat="1" applyFont="1" applyFill="1" applyBorder="1" applyAlignment="1">
      <alignment horizontal="center" vertical="center" wrapText="1"/>
    </xf>
    <xf numFmtId="168" fontId="12" fillId="7" borderId="3" xfId="0" applyNumberFormat="1" applyFont="1" applyFill="1" applyBorder="1" applyAlignment="1">
      <alignment horizontal="left" vertical="center" wrapText="1"/>
    </xf>
    <xf numFmtId="172" fontId="34" fillId="7" borderId="3" xfId="0" applyNumberFormat="1" applyFont="1" applyFill="1" applyBorder="1" applyAlignment="1">
      <alignment horizontal="center" vertical="center" wrapText="1"/>
    </xf>
    <xf numFmtId="0" fontId="4" fillId="10" borderId="3" xfId="0" applyFont="1" applyFill="1" applyBorder="1" applyAlignment="1">
      <alignment horizontal="center" vertical="center" wrapText="1"/>
    </xf>
    <xf numFmtId="173" fontId="6" fillId="15" borderId="3" xfId="0" applyNumberFormat="1" applyFont="1" applyFill="1" applyBorder="1" applyAlignment="1">
      <alignment horizontal="center" vertical="center" wrapText="1"/>
    </xf>
    <xf numFmtId="168" fontId="6" fillId="15" borderId="3" xfId="0" applyNumberFormat="1" applyFont="1" applyFill="1" applyBorder="1" applyAlignment="1">
      <alignment horizontal="center" vertical="center" wrapText="1"/>
    </xf>
    <xf numFmtId="168" fontId="13" fillId="15" borderId="3" xfId="0" applyNumberFormat="1" applyFont="1" applyFill="1" applyBorder="1" applyAlignment="1">
      <alignment horizontal="center" vertical="center" wrapText="1"/>
    </xf>
    <xf numFmtId="0" fontId="5" fillId="15" borderId="3" xfId="0" applyFont="1" applyFill="1" applyBorder="1" applyAlignment="1">
      <alignment horizontal="center" vertical="center" wrapText="1"/>
    </xf>
    <xf numFmtId="173" fontId="6" fillId="9" borderId="3" xfId="0" applyNumberFormat="1" applyFont="1" applyFill="1" applyBorder="1" applyAlignment="1">
      <alignment horizontal="center" vertical="center" wrapText="1"/>
    </xf>
    <xf numFmtId="0" fontId="5" fillId="9" borderId="3" xfId="0" applyFont="1" applyFill="1" applyBorder="1" applyAlignment="1">
      <alignment horizontal="center" vertical="center" wrapText="1"/>
    </xf>
    <xf numFmtId="0" fontId="4" fillId="10" borderId="3" xfId="0" applyFont="1" applyFill="1" applyBorder="1" applyAlignment="1">
      <alignment horizontal="left" vertical="center" wrapText="1"/>
    </xf>
    <xf numFmtId="168" fontId="4" fillId="10" borderId="3" xfId="0" applyNumberFormat="1" applyFont="1" applyFill="1" applyBorder="1" applyAlignment="1">
      <alignment horizontal="center" vertical="center" wrapText="1"/>
    </xf>
    <xf numFmtId="168" fontId="35" fillId="10"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36" fillId="8" borderId="3"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18"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31" fillId="5" borderId="3" xfId="0" applyFont="1" applyFill="1" applyBorder="1" applyAlignment="1">
      <alignment horizontal="left" vertical="top" wrapText="1"/>
    </xf>
    <xf numFmtId="0" fontId="37" fillId="5" borderId="3" xfId="0" applyFont="1" applyFill="1" applyBorder="1" applyAlignment="1">
      <alignment horizontal="center" vertical="center" wrapText="1"/>
    </xf>
    <xf numFmtId="0" fontId="31" fillId="9" borderId="3" xfId="0" applyFont="1" applyFill="1" applyBorder="1" applyAlignment="1">
      <alignment horizontal="left" vertical="top" wrapText="1"/>
    </xf>
    <xf numFmtId="0" fontId="37" fillId="9"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0" fontId="38"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39" fillId="4" borderId="3" xfId="0" applyFont="1" applyFill="1" applyBorder="1" applyAlignment="1">
      <alignment horizontal="left" vertical="center" wrapText="1"/>
    </xf>
    <xf numFmtId="167" fontId="6" fillId="4" borderId="3" xfId="0" applyNumberFormat="1" applyFont="1" applyFill="1" applyBorder="1" applyAlignment="1">
      <alignment horizontal="center" vertical="center" wrapText="1"/>
    </xf>
    <xf numFmtId="0" fontId="40" fillId="5"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38" fillId="7" borderId="3" xfId="0" applyFont="1" applyFill="1" applyBorder="1" applyAlignment="1">
      <alignment horizontal="center" vertical="center" wrapText="1"/>
    </xf>
    <xf numFmtId="0" fontId="39" fillId="7" borderId="3" xfId="0" applyFont="1" applyFill="1" applyBorder="1" applyAlignment="1">
      <alignment horizontal="left" vertical="center" wrapText="1"/>
    </xf>
    <xf numFmtId="167" fontId="6" fillId="7" borderId="3" xfId="0" applyNumberFormat="1" applyFont="1" applyFill="1" applyBorder="1" applyAlignment="1">
      <alignment horizontal="center" vertical="center" wrapText="1"/>
    </xf>
    <xf numFmtId="0" fontId="6" fillId="6" borderId="3" xfId="0" applyFont="1" applyFill="1" applyBorder="1" applyAlignment="1">
      <alignment horizontal="left" vertical="center" wrapText="1"/>
    </xf>
    <xf numFmtId="0" fontId="1" fillId="6" borderId="3" xfId="0" applyFont="1" applyFill="1" applyBorder="1" applyAlignment="1">
      <alignment horizontal="center" vertical="center" wrapText="1"/>
    </xf>
    <xf numFmtId="0" fontId="38" fillId="6" borderId="3" xfId="0" applyFont="1" applyFill="1" applyBorder="1" applyAlignment="1">
      <alignment horizontal="center" vertical="center" wrapText="1"/>
    </xf>
    <xf numFmtId="0" fontId="39" fillId="6" borderId="3" xfId="0" applyFont="1" applyFill="1" applyBorder="1" applyAlignment="1">
      <alignment horizontal="left" vertical="center" wrapText="1"/>
    </xf>
    <xf numFmtId="167" fontId="6" fillId="6" borderId="3" xfId="0" applyNumberFormat="1" applyFont="1" applyFill="1" applyBorder="1" applyAlignment="1">
      <alignment horizontal="center" vertical="center" wrapText="1"/>
    </xf>
    <xf numFmtId="0" fontId="6" fillId="18" borderId="3" xfId="0" applyFont="1" applyFill="1" applyBorder="1" applyAlignment="1">
      <alignment horizontal="left" vertical="center" wrapText="1"/>
    </xf>
    <xf numFmtId="0" fontId="1" fillId="18" borderId="3" xfId="0" applyFont="1" applyFill="1" applyBorder="1" applyAlignment="1">
      <alignment horizontal="center" vertical="center" wrapText="1"/>
    </xf>
    <xf numFmtId="0" fontId="38" fillId="18" borderId="3" xfId="0" applyFont="1" applyFill="1" applyBorder="1" applyAlignment="1">
      <alignment horizontal="center" vertical="center" wrapText="1"/>
    </xf>
    <xf numFmtId="0" fontId="39" fillId="18" borderId="3" xfId="0" applyFont="1" applyFill="1" applyBorder="1" applyAlignment="1">
      <alignment horizontal="left" vertical="center" wrapText="1"/>
    </xf>
    <xf numFmtId="0" fontId="6" fillId="18" borderId="3" xfId="0" applyFont="1" applyFill="1" applyBorder="1" applyAlignment="1">
      <alignment horizontal="center" vertical="center" wrapText="1"/>
    </xf>
    <xf numFmtId="0" fontId="12" fillId="9" borderId="3" xfId="0" applyFont="1" applyFill="1" applyBorder="1" applyAlignment="1">
      <alignment horizontal="left" vertical="top" wrapText="1"/>
    </xf>
    <xf numFmtId="0" fontId="12" fillId="5" borderId="3" xfId="0" applyFont="1" applyFill="1" applyBorder="1" applyAlignment="1">
      <alignment horizontal="left" vertical="top" wrapText="1"/>
    </xf>
    <xf numFmtId="0" fontId="5" fillId="18" borderId="3" xfId="0" applyFont="1" applyFill="1" applyBorder="1" applyAlignment="1">
      <alignment horizontal="left" vertical="center" wrapText="1"/>
    </xf>
    <xf numFmtId="168" fontId="41" fillId="5" borderId="3" xfId="0" applyNumberFormat="1" applyFont="1" applyFill="1" applyBorder="1" applyAlignment="1">
      <alignment horizontal="center" vertical="center" wrapText="1"/>
    </xf>
    <xf numFmtId="168" fontId="12" fillId="5" borderId="3" xfId="0" applyNumberFormat="1" applyFont="1" applyFill="1" applyBorder="1" applyAlignment="1">
      <alignment horizontal="left" vertical="center" wrapText="1"/>
    </xf>
    <xf numFmtId="174" fontId="34" fillId="7" borderId="3" xfId="0" applyNumberFormat="1" applyFont="1" applyFill="1" applyBorder="1" applyAlignment="1">
      <alignment horizontal="center" vertical="center" wrapText="1"/>
    </xf>
    <xf numFmtId="0" fontId="6" fillId="9" borderId="4" xfId="0" applyFont="1" applyFill="1" applyBorder="1"/>
    <xf numFmtId="0" fontId="6" fillId="9" borderId="7" xfId="0" applyFont="1" applyFill="1" applyBorder="1"/>
    <xf numFmtId="3" fontId="4" fillId="2" borderId="3" xfId="0" applyNumberFormat="1" applyFont="1" applyFill="1" applyBorder="1" applyAlignment="1">
      <alignment horizontal="center" vertical="center" wrapText="1"/>
    </xf>
    <xf numFmtId="3" fontId="31" fillId="5" borderId="3" xfId="0" applyNumberFormat="1" applyFont="1" applyFill="1" applyBorder="1" applyAlignment="1">
      <alignment horizontal="center" vertical="center" wrapText="1"/>
    </xf>
    <xf numFmtId="168" fontId="6" fillId="21" borderId="3" xfId="0" applyNumberFormat="1" applyFont="1" applyFill="1" applyBorder="1" applyAlignment="1">
      <alignment horizontal="center" vertical="center" wrapText="1"/>
    </xf>
    <xf numFmtId="168" fontId="5" fillId="18" borderId="3" xfId="0" applyNumberFormat="1" applyFont="1" applyFill="1" applyBorder="1" applyAlignment="1">
      <alignment horizontal="center" vertical="center" wrapText="1"/>
    </xf>
    <xf numFmtId="168" fontId="27" fillId="12" borderId="3" xfId="0" applyNumberFormat="1" applyFont="1" applyFill="1" applyBorder="1" applyAlignment="1">
      <alignment horizontal="center" vertical="center" wrapText="1"/>
    </xf>
    <xf numFmtId="168" fontId="42" fillId="8" borderId="3" xfId="0" applyNumberFormat="1" applyFont="1" applyFill="1" applyBorder="1" applyAlignment="1">
      <alignment horizontal="center" vertical="center" wrapText="1"/>
    </xf>
    <xf numFmtId="3" fontId="31" fillId="9" borderId="3" xfId="0" applyNumberFormat="1" applyFont="1" applyFill="1" applyBorder="1" applyAlignment="1">
      <alignment horizontal="center" vertical="center" wrapText="1"/>
    </xf>
    <xf numFmtId="168" fontId="12" fillId="9" borderId="3" xfId="0" applyNumberFormat="1" applyFont="1" applyFill="1" applyBorder="1" applyAlignment="1">
      <alignment horizontal="left" vertical="center" wrapText="1"/>
    </xf>
    <xf numFmtId="168" fontId="5" fillId="6" borderId="3" xfId="0" applyNumberFormat="1" applyFont="1" applyFill="1" applyBorder="1" applyAlignment="1">
      <alignment horizontal="center" vertical="center" wrapText="1"/>
    </xf>
    <xf numFmtId="168" fontId="43" fillId="7" borderId="3" xfId="0" applyNumberFormat="1" applyFont="1" applyFill="1" applyBorder="1" applyAlignment="1">
      <alignment horizontal="center" vertical="center" wrapText="1"/>
    </xf>
    <xf numFmtId="168" fontId="44" fillId="8" borderId="3" xfId="0" applyNumberFormat="1" applyFont="1" applyFill="1" applyBorder="1" applyAlignment="1">
      <alignment horizontal="center" vertical="center" wrapText="1"/>
    </xf>
    <xf numFmtId="3" fontId="4" fillId="13" borderId="3" xfId="0" applyNumberFormat="1" applyFont="1" applyFill="1" applyBorder="1" applyAlignment="1">
      <alignment horizontal="center" vertical="center" wrapText="1"/>
    </xf>
    <xf numFmtId="167" fontId="4" fillId="13" borderId="3" xfId="0" applyNumberFormat="1" applyFont="1" applyFill="1" applyBorder="1" applyAlignment="1">
      <alignment horizontal="center" vertical="center" wrapText="1"/>
    </xf>
    <xf numFmtId="167" fontId="35" fillId="13" borderId="3" xfId="0" applyNumberFormat="1" applyFont="1" applyFill="1" applyBorder="1" applyAlignment="1">
      <alignment horizontal="center" vertical="center" wrapText="1"/>
    </xf>
    <xf numFmtId="3" fontId="4" fillId="10" borderId="3" xfId="0" applyNumberFormat="1" applyFont="1" applyFill="1" applyBorder="1" applyAlignment="1">
      <alignment horizontal="center" vertical="center" wrapText="1"/>
    </xf>
    <xf numFmtId="168" fontId="45" fillId="15" borderId="3" xfId="0" applyNumberFormat="1" applyFont="1" applyFill="1" applyBorder="1" applyAlignment="1">
      <alignment horizontal="left" vertical="center" wrapText="1"/>
    </xf>
    <xf numFmtId="168" fontId="46" fillId="22" borderId="3" xfId="0" applyNumberFormat="1" applyFont="1" applyFill="1" applyBorder="1" applyAlignment="1">
      <alignment horizontal="center" vertical="center" wrapText="1"/>
    </xf>
    <xf numFmtId="168" fontId="47" fillId="22" borderId="3" xfId="0" applyNumberFormat="1" applyFont="1" applyFill="1" applyBorder="1" applyAlignment="1">
      <alignment horizontal="center" vertical="center" wrapText="1"/>
    </xf>
    <xf numFmtId="167" fontId="4" fillId="10" borderId="3" xfId="0" applyNumberFormat="1" applyFont="1" applyFill="1" applyBorder="1" applyAlignment="1">
      <alignment horizontal="center" vertical="center" wrapText="1"/>
    </xf>
    <xf numFmtId="167" fontId="35" fillId="10" borderId="3" xfId="0" applyNumberFormat="1" applyFont="1" applyFill="1" applyBorder="1" applyAlignment="1">
      <alignment horizontal="center" vertical="center" wrapText="1"/>
    </xf>
    <xf numFmtId="168" fontId="4" fillId="10" borderId="3" xfId="0" applyNumberFormat="1" applyFont="1" applyFill="1" applyBorder="1" applyAlignment="1">
      <alignment horizontal="left" vertical="center" wrapText="1"/>
    </xf>
    <xf numFmtId="3" fontId="4" fillId="14" borderId="3" xfId="0" applyNumberFormat="1" applyFont="1" applyFill="1" applyBorder="1" applyAlignment="1">
      <alignment horizontal="center" vertical="center" wrapText="1"/>
    </xf>
    <xf numFmtId="168" fontId="4" fillId="14" borderId="3" xfId="0" applyNumberFormat="1" applyFont="1" applyFill="1" applyBorder="1" applyAlignment="1">
      <alignment horizontal="center" vertical="center" wrapText="1"/>
    </xf>
    <xf numFmtId="168" fontId="43" fillId="6" borderId="3" xfId="0" applyNumberFormat="1" applyFont="1" applyFill="1" applyBorder="1" applyAlignment="1">
      <alignment horizontal="center" vertical="center" wrapText="1"/>
    </xf>
    <xf numFmtId="3" fontId="31" fillId="6" borderId="3" xfId="0" applyNumberFormat="1" applyFont="1" applyFill="1" applyBorder="1" applyAlignment="1">
      <alignment horizontal="center" vertical="center" wrapText="1"/>
    </xf>
    <xf numFmtId="167" fontId="6" fillId="9" borderId="3" xfId="0" applyNumberFormat="1" applyFont="1" applyFill="1" applyBorder="1" applyAlignment="1">
      <alignment horizontal="center" vertical="center" wrapText="1"/>
    </xf>
    <xf numFmtId="167" fontId="6" fillId="5" borderId="3" xfId="0" applyNumberFormat="1" applyFont="1" applyFill="1" applyBorder="1" applyAlignment="1">
      <alignment horizontal="center" vertical="center" wrapText="1"/>
    </xf>
    <xf numFmtId="167" fontId="6" fillId="9" borderId="3" xfId="0" applyNumberFormat="1" applyFont="1" applyFill="1" applyBorder="1"/>
    <xf numFmtId="166" fontId="6" fillId="9" borderId="3" xfId="0" applyNumberFormat="1" applyFont="1" applyFill="1" applyBorder="1"/>
    <xf numFmtId="167" fontId="5" fillId="6" borderId="3" xfId="0" applyNumberFormat="1" applyFont="1" applyFill="1" applyBorder="1" applyAlignment="1">
      <alignment horizontal="center" vertical="center" wrapText="1"/>
    </xf>
    <xf numFmtId="167" fontId="4" fillId="2" borderId="3" xfId="0" applyNumberFormat="1" applyFont="1" applyFill="1" applyBorder="1" applyAlignment="1">
      <alignment horizontal="center" vertical="center" wrapText="1"/>
    </xf>
    <xf numFmtId="167" fontId="6" fillId="8" borderId="3" xfId="0" applyNumberFormat="1" applyFont="1" applyFill="1" applyBorder="1" applyAlignment="1">
      <alignment horizontal="center" vertical="center" wrapText="1"/>
    </xf>
    <xf numFmtId="167" fontId="44" fillId="8" borderId="3" xfId="0" applyNumberFormat="1" applyFont="1" applyFill="1" applyBorder="1" applyAlignment="1">
      <alignment horizontal="center" vertical="center" wrapText="1"/>
    </xf>
    <xf numFmtId="167" fontId="6" fillId="15" borderId="3" xfId="0" applyNumberFormat="1" applyFont="1" applyFill="1" applyBorder="1" applyAlignment="1">
      <alignment horizontal="center" vertical="center" wrapText="1"/>
    </xf>
    <xf numFmtId="167" fontId="47" fillId="22" borderId="3" xfId="0" applyNumberFormat="1" applyFont="1" applyFill="1" applyBorder="1" applyAlignment="1">
      <alignment horizontal="center" vertical="center" wrapText="1"/>
    </xf>
    <xf numFmtId="0" fontId="48" fillId="15" borderId="3" xfId="0" applyFont="1" applyFill="1" applyBorder="1" applyAlignment="1">
      <alignment horizontal="left" vertical="center" wrapText="1"/>
    </xf>
    <xf numFmtId="167" fontId="5" fillId="7" borderId="3" xfId="0" applyNumberFormat="1" applyFont="1" applyFill="1" applyBorder="1" applyAlignment="1">
      <alignment horizontal="center" vertical="center" wrapText="1"/>
    </xf>
    <xf numFmtId="167" fontId="34" fillId="7" borderId="3" xfId="0" applyNumberFormat="1" applyFont="1" applyFill="1" applyBorder="1" applyAlignment="1">
      <alignment horizontal="center" vertical="center" wrapText="1"/>
    </xf>
    <xf numFmtId="167" fontId="16" fillId="2" borderId="3" xfId="0" applyNumberFormat="1" applyFont="1" applyFill="1" applyBorder="1" applyAlignment="1">
      <alignment horizontal="center" vertical="center" wrapText="1"/>
    </xf>
    <xf numFmtId="167" fontId="33" fillId="2" borderId="3" xfId="0" applyNumberFormat="1" applyFont="1" applyFill="1" applyBorder="1" applyAlignment="1">
      <alignment horizontal="center" vertical="center" wrapText="1"/>
    </xf>
    <xf numFmtId="3" fontId="3" fillId="10" borderId="3" xfId="0" applyNumberFormat="1" applyFont="1" applyFill="1" applyBorder="1" applyAlignment="1">
      <alignment horizontal="left" vertical="center" wrapText="1"/>
    </xf>
    <xf numFmtId="3" fontId="14" fillId="15" borderId="3" xfId="0" applyNumberFormat="1" applyFont="1" applyFill="1" applyBorder="1" applyAlignment="1">
      <alignment horizontal="left" vertical="center" wrapText="1"/>
    </xf>
    <xf numFmtId="3" fontId="3" fillId="14" borderId="3" xfId="0" applyNumberFormat="1" applyFont="1" applyFill="1" applyBorder="1" applyAlignment="1">
      <alignment horizontal="left" vertical="center" wrapText="1"/>
    </xf>
    <xf numFmtId="3" fontId="6" fillId="7" borderId="3" xfId="0" applyNumberFormat="1" applyFont="1" applyFill="1" applyBorder="1" applyAlignment="1">
      <alignment horizontal="left" vertical="center" wrapText="1"/>
    </xf>
    <xf numFmtId="0" fontId="3" fillId="2" borderId="3" xfId="0" applyFont="1" applyFill="1" applyBorder="1" applyAlignment="1">
      <alignment horizontal="left" vertical="center" wrapText="1"/>
    </xf>
    <xf numFmtId="0" fontId="34" fillId="7" borderId="3" xfId="0" applyFont="1" applyFill="1" applyBorder="1" applyAlignment="1">
      <alignment horizontal="left" vertical="center" wrapText="1"/>
    </xf>
    <xf numFmtId="3" fontId="3" fillId="13" borderId="3" xfId="0" applyNumberFormat="1" applyFont="1" applyFill="1" applyBorder="1" applyAlignment="1">
      <alignment horizontal="left" vertical="center" wrapText="1"/>
    </xf>
    <xf numFmtId="3" fontId="3" fillId="8" borderId="3" xfId="0" applyNumberFormat="1" applyFont="1" applyFill="1" applyBorder="1" applyAlignment="1">
      <alignment horizontal="left" vertical="center" wrapText="1"/>
    </xf>
    <xf numFmtId="168" fontId="12" fillId="5" borderId="3" xfId="0" applyNumberFormat="1" applyFont="1" applyFill="1" applyBorder="1" applyAlignment="1">
      <alignment horizontal="left" vertical="center" wrapText="1"/>
    </xf>
    <xf numFmtId="0" fontId="12" fillId="5" borderId="3" xfId="0" applyFont="1" applyFill="1" applyBorder="1" applyAlignment="1">
      <alignment horizontal="left" vertical="center" wrapText="1"/>
    </xf>
    <xf numFmtId="166" fontId="12" fillId="9" borderId="3" xfId="0" applyNumberFormat="1" applyFont="1" applyFill="1" applyBorder="1" applyAlignment="1">
      <alignment horizontal="left" vertical="center" wrapText="1"/>
    </xf>
    <xf numFmtId="0" fontId="12" fillId="9" borderId="3" xfId="0" applyFont="1" applyFill="1" applyBorder="1" applyAlignment="1">
      <alignment horizontal="left" vertical="center" wrapText="1"/>
    </xf>
    <xf numFmtId="0" fontId="8" fillId="2" borderId="6" xfId="0" applyFont="1" applyFill="1" applyBorder="1" applyAlignment="1">
      <alignment horizontal="center" vertical="center" wrapText="1"/>
    </xf>
    <xf numFmtId="0" fontId="12" fillId="9" borderId="0" xfId="0" applyFont="1" applyFill="1" applyAlignment="1">
      <alignment horizontal="center" vertical="center" wrapText="1"/>
    </xf>
    <xf numFmtId="0" fontId="3" fillId="11" borderId="3" xfId="0" applyFont="1" applyFill="1" applyBorder="1" applyAlignment="1">
      <alignment horizontal="left" vertical="center" wrapText="1"/>
    </xf>
    <xf numFmtId="165" fontId="12" fillId="5" borderId="3" xfId="0" applyNumberFormat="1"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3" fillId="2" borderId="2" xfId="0" applyFont="1" applyFill="1" applyBorder="1" applyAlignment="1">
      <alignment horizontal="left" vertical="center" wrapText="1"/>
    </xf>
    <xf numFmtId="0" fontId="3" fillId="10" borderId="3"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12" fillId="15" borderId="3" xfId="0" applyFont="1" applyFill="1" applyBorder="1" applyAlignment="1">
      <alignment horizontal="left" vertical="center" wrapText="1"/>
    </xf>
    <xf numFmtId="0" fontId="3" fillId="14" borderId="2" xfId="0" applyFont="1" applyFill="1" applyBorder="1" applyAlignment="1">
      <alignment horizontal="left" vertical="center" wrapText="1"/>
    </xf>
    <xf numFmtId="0" fontId="12" fillId="8" borderId="2"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9" fillId="0" borderId="0" xfId="0" applyFont="1" applyAlignment="1">
      <alignment horizontal="center" vertical="center" wrapText="1"/>
    </xf>
    <xf numFmtId="0" fontId="3" fillId="11" borderId="2" xfId="0" applyFont="1" applyFill="1" applyBorder="1" applyAlignment="1">
      <alignment horizontal="left" vertical="center" wrapText="1"/>
    </xf>
    <xf numFmtId="10" fontId="6" fillId="9" borderId="3" xfId="0" applyNumberFormat="1" applyFont="1" applyFill="1" applyBorder="1"/>
    <xf numFmtId="10" fontId="6" fillId="5" borderId="3" xfId="0" applyNumberFormat="1" applyFont="1" applyFill="1" applyBorder="1"/>
    <xf numFmtId="10" fontId="6" fillId="2" borderId="3" xfId="0" applyNumberFormat="1" applyFont="1" applyFill="1" applyBorder="1"/>
    <xf numFmtId="0" fontId="24" fillId="9" borderId="3" xfId="0" applyFont="1" applyFill="1" applyBorder="1" applyAlignment="1">
      <alignment horizontal="center" vertical="center" wrapText="1"/>
    </xf>
    <xf numFmtId="0" fontId="24" fillId="5" borderId="3" xfId="0" applyFont="1" applyFill="1" applyBorder="1" applyAlignment="1">
      <alignment horizontal="center" vertical="center" wrapText="1"/>
    </xf>
    <xf numFmtId="0" fontId="13" fillId="15" borderId="3" xfId="0" applyFont="1" applyFill="1" applyBorder="1" applyAlignment="1">
      <alignment horizontal="left" vertical="center" wrapText="1"/>
    </xf>
    <xf numFmtId="167" fontId="19" fillId="4" borderId="3" xfId="0" applyNumberFormat="1" applyFont="1" applyFill="1" applyBorder="1" applyAlignment="1">
      <alignment horizontal="center" vertical="center" wrapText="1"/>
    </xf>
    <xf numFmtId="167" fontId="20" fillId="7" borderId="3" xfId="0" applyNumberFormat="1" applyFont="1" applyFill="1" applyBorder="1" applyAlignment="1">
      <alignment horizontal="center" vertical="center" wrapText="1"/>
    </xf>
    <xf numFmtId="167" fontId="21" fillId="18" borderId="3" xfId="0" applyNumberFormat="1" applyFont="1" applyFill="1" applyBorder="1" applyAlignment="1">
      <alignment horizontal="center" vertical="center" wrapText="1"/>
    </xf>
    <xf numFmtId="167" fontId="22" fillId="19" borderId="3" xfId="0" applyNumberFormat="1" applyFont="1" applyFill="1" applyBorder="1" applyAlignment="1">
      <alignment horizontal="center" vertical="center" wrapText="1"/>
    </xf>
    <xf numFmtId="0" fontId="23" fillId="9" borderId="5" xfId="0" applyFont="1" applyFill="1" applyBorder="1" applyAlignment="1">
      <alignment horizontal="center" vertical="center" wrapText="1"/>
    </xf>
    <xf numFmtId="0" fontId="23" fillId="9"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6"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3" fillId="14"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14" fillId="15" borderId="3" xfId="0" applyFont="1" applyFill="1" applyBorder="1" applyAlignment="1">
      <alignment horizontal="left" vertical="center" wrapText="1"/>
    </xf>
    <xf numFmtId="0" fontId="6" fillId="9" borderId="3"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30" fillId="2" borderId="1"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12" fillId="8" borderId="3"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4" fillId="14" borderId="3" xfId="0" applyFont="1" applyFill="1" applyBorder="1" applyAlignment="1">
      <alignment horizontal="left" vertical="center" wrapText="1"/>
    </xf>
    <xf numFmtId="0" fontId="3" fillId="16" borderId="2" xfId="0" applyFont="1" applyFill="1" applyBorder="1" applyAlignment="1">
      <alignment horizontal="left" vertical="center" wrapText="1"/>
    </xf>
    <xf numFmtId="0" fontId="32" fillId="18" borderId="2" xfId="0" applyFont="1" applyFill="1" applyBorder="1" applyAlignment="1">
      <alignment horizontal="left" vertical="center" wrapText="1"/>
    </xf>
    <xf numFmtId="0" fontId="32" fillId="8" borderId="2" xfId="0" applyFont="1" applyFill="1" applyBorder="1" applyAlignment="1">
      <alignment horizontal="left" vertical="center" wrapText="1"/>
    </xf>
    <xf numFmtId="0" fontId="3" fillId="13" borderId="3" xfId="0" applyFont="1" applyFill="1" applyBorder="1" applyAlignment="1">
      <alignment horizontal="left" vertical="center" wrapText="1"/>
    </xf>
    <xf numFmtId="0" fontId="4" fillId="13" borderId="3" xfId="0" applyFont="1" applyFill="1" applyBorder="1" applyAlignment="1">
      <alignment horizontal="left" vertical="center" wrapText="1"/>
    </xf>
    <xf numFmtId="0" fontId="3" fillId="17" borderId="3" xfId="0" applyFont="1" applyFill="1" applyBorder="1" applyAlignment="1">
      <alignment horizontal="left" vertical="center" wrapText="1"/>
    </xf>
    <xf numFmtId="0" fontId="4" fillId="17" borderId="3" xfId="0" applyFont="1" applyFill="1" applyBorder="1" applyAlignment="1">
      <alignment horizontal="left" vertical="center" wrapText="1"/>
    </xf>
    <xf numFmtId="0" fontId="3" fillId="17" borderId="2" xfId="0" applyFont="1" applyFill="1" applyBorder="1" applyAlignment="1">
      <alignment horizontal="left" vertical="center" wrapText="1"/>
    </xf>
    <xf numFmtId="0" fontId="34" fillId="7" borderId="3" xfId="0" applyFont="1" applyFill="1" applyBorder="1" applyAlignment="1">
      <alignment horizontal="center" vertical="center" wrapText="1"/>
    </xf>
    <xf numFmtId="0" fontId="6" fillId="5" borderId="2" xfId="0" applyFont="1" applyFill="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FCCA6275-3F4B-4E28-899F-94EA1BDA520A}"/>
  </tableStyles>
  <colors>
    <indexedColors>
      <rgbColor rgb="FF000000"/>
      <rgbColor rgb="FFFFFFFF"/>
      <rgbColor rgb="FFC00000"/>
      <rgbColor rgb="FF00FF00"/>
      <rgbColor rgb="FF0000FF"/>
      <rgbColor rgb="FFFFFF00"/>
      <rgbColor rgb="FFFF00FF"/>
      <rgbColor rgb="FF00FFFF"/>
      <rgbColor rgb="FF8B0000"/>
      <rgbColor rgb="FF008000"/>
      <rgbColor rgb="FF000080"/>
      <rgbColor rgb="FF555555"/>
      <rgbColor rgb="FF800080"/>
      <rgbColor rgb="FF008080"/>
      <rgbColor rgb="FFBFBFBF"/>
      <rgbColor rgb="FF888888"/>
      <rgbColor rgb="FFF5EEF8"/>
      <rgbColor rgb="FF7030A0"/>
      <rgbColor rgb="FFFFFDE7"/>
      <rgbColor rgb="FFD0EDF0"/>
      <rgbColor rgb="FF4A235A"/>
      <rgbColor rgb="FFFF8080"/>
      <rgbColor rgb="FF0066CC"/>
      <rgbColor rgb="FFD6E4F7"/>
      <rgbColor rgb="FF000080"/>
      <rgbColor rgb="FFFF00FF"/>
      <rgbColor rgb="FFFFF0E0"/>
      <rgbColor rgb="FF00FFFF"/>
      <rgbColor rgb="FF800080"/>
      <rgbColor rgb="FF800000"/>
      <rgbColor rgb="FF008080"/>
      <rgbColor rgb="FF0000FF"/>
      <rgbColor rgb="FF00CCFF"/>
      <rgbColor rgb="FFF2F2F2"/>
      <rgbColor rgb="FFE2EFDA"/>
      <rgbColor rgb="FFFFF2CC"/>
      <rgbColor rgb="FFEDE7F6"/>
      <rgbColor rgb="FFFFE0E0"/>
      <rgbColor rgb="FFFCE4D6"/>
      <rgbColor rgb="FFFFD7D7"/>
      <rgbColor rgb="FF2E75B6"/>
      <rgbColor rgb="FF33CCCC"/>
      <rgbColor rgb="FF99CC00"/>
      <rgbColor rgb="FFFFCC00"/>
      <rgbColor rgb="FFFF9900"/>
      <rgbColor rgb="FFFF6600"/>
      <rgbColor rgb="FF666666"/>
      <rgbColor rgb="FFAAAAAA"/>
      <rgbColor rgb="FF1F3864"/>
      <rgbColor rgb="FF339966"/>
      <rgbColor rgb="FF0D5257"/>
      <rgbColor rgb="FF375623"/>
      <rgbColor rgb="FF843C0C"/>
      <rgbColor rgb="FF595959"/>
      <rgbColor rgb="FF2F549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showGridLines="0" topLeftCell="A5" zoomScaleNormal="100" workbookViewId="0"/>
  </sheetViews>
  <sheetFormatPr defaultColWidth="8.6640625" defaultRowHeight="14.4" x14ac:dyDescent="0.3"/>
  <cols>
    <col min="1" max="1" width="6" customWidth="1"/>
    <col min="2" max="2" width="26" customWidth="1"/>
    <col min="3" max="3" width="72" customWidth="1"/>
    <col min="4" max="4" width="20" customWidth="1"/>
  </cols>
  <sheetData>
    <row r="1" spans="1:4" ht="31.5" customHeight="1" x14ac:dyDescent="0.3">
      <c r="A1" s="243" t="s">
        <v>0</v>
      </c>
      <c r="B1" s="243"/>
      <c r="C1" s="243"/>
      <c r="D1" s="243"/>
    </row>
    <row r="2" spans="1:4" ht="15.75" customHeight="1" x14ac:dyDescent="0.3">
      <c r="A2" s="244" t="s">
        <v>1</v>
      </c>
      <c r="B2" s="244"/>
      <c r="C2" s="244"/>
      <c r="D2" s="244"/>
    </row>
    <row r="4" spans="1:4" ht="19.5" customHeight="1" x14ac:dyDescent="0.3">
      <c r="A4" s="245" t="s">
        <v>2</v>
      </c>
      <c r="B4" s="245"/>
      <c r="C4" s="245"/>
      <c r="D4" s="245"/>
    </row>
    <row r="5" spans="1:4" ht="27.75" customHeight="1" x14ac:dyDescent="0.3">
      <c r="A5" s="1" t="s">
        <v>3</v>
      </c>
      <c r="B5" s="1" t="s">
        <v>4</v>
      </c>
      <c r="C5" s="1" t="s">
        <v>5</v>
      </c>
      <c r="D5" s="1" t="s">
        <v>6</v>
      </c>
    </row>
    <row r="6" spans="1:4" ht="90" customHeight="1" x14ac:dyDescent="0.3">
      <c r="A6" s="2" t="s">
        <v>7</v>
      </c>
      <c r="B6" s="3" t="s">
        <v>8</v>
      </c>
      <c r="C6" s="4" t="s">
        <v>9</v>
      </c>
      <c r="D6" s="5" t="s">
        <v>10</v>
      </c>
    </row>
    <row r="7" spans="1:4" ht="90" customHeight="1" x14ac:dyDescent="0.3">
      <c r="A7" s="2" t="s">
        <v>11</v>
      </c>
      <c r="B7" s="3" t="s">
        <v>12</v>
      </c>
      <c r="C7" s="6" t="s">
        <v>13</v>
      </c>
      <c r="D7" s="7" t="s">
        <v>14</v>
      </c>
    </row>
    <row r="8" spans="1:4" ht="90" customHeight="1" x14ac:dyDescent="0.3">
      <c r="A8" s="2" t="s">
        <v>15</v>
      </c>
      <c r="B8" s="3" t="s">
        <v>16</v>
      </c>
      <c r="C8" s="4" t="s">
        <v>17</v>
      </c>
      <c r="D8" s="8" t="s">
        <v>18</v>
      </c>
    </row>
    <row r="9" spans="1:4" ht="90" customHeight="1" x14ac:dyDescent="0.3">
      <c r="A9" s="2" t="s">
        <v>19</v>
      </c>
      <c r="B9" s="3" t="s">
        <v>20</v>
      </c>
      <c r="C9" s="9" t="s">
        <v>21</v>
      </c>
      <c r="D9" s="8" t="s">
        <v>22</v>
      </c>
    </row>
    <row r="10" spans="1:4" ht="90" customHeight="1" x14ac:dyDescent="0.3">
      <c r="A10" s="2" t="s">
        <v>23</v>
      </c>
      <c r="B10" s="3" t="s">
        <v>24</v>
      </c>
      <c r="C10" s="4" t="s">
        <v>25</v>
      </c>
      <c r="D10" s="5" t="s">
        <v>26</v>
      </c>
    </row>
    <row r="11" spans="1:4" ht="90" customHeight="1" x14ac:dyDescent="0.3">
      <c r="A11" s="2" t="s">
        <v>27</v>
      </c>
      <c r="B11" s="3" t="s">
        <v>28</v>
      </c>
      <c r="C11" s="9" t="s">
        <v>29</v>
      </c>
      <c r="D11" s="7" t="s">
        <v>30</v>
      </c>
    </row>
    <row r="12" spans="1:4" ht="90" customHeight="1" x14ac:dyDescent="0.3">
      <c r="A12" s="2" t="s">
        <v>31</v>
      </c>
      <c r="B12" s="3" t="s">
        <v>32</v>
      </c>
      <c r="C12" s="4" t="s">
        <v>33</v>
      </c>
      <c r="D12" s="7" t="s">
        <v>34</v>
      </c>
    </row>
    <row r="13" spans="1:4" ht="90" customHeight="1" x14ac:dyDescent="0.3">
      <c r="A13" s="2" t="s">
        <v>35</v>
      </c>
      <c r="B13" s="3" t="s">
        <v>36</v>
      </c>
      <c r="C13" s="9" t="s">
        <v>37</v>
      </c>
      <c r="D13" s="5" t="s">
        <v>38</v>
      </c>
    </row>
    <row r="14" spans="1:4" ht="90" customHeight="1" x14ac:dyDescent="0.3">
      <c r="A14" s="246" t="s">
        <v>39</v>
      </c>
      <c r="B14" s="246"/>
      <c r="C14" s="246"/>
      <c r="D14" s="246"/>
    </row>
    <row r="15" spans="1:4" ht="409.6" customHeight="1" x14ac:dyDescent="0.3">
      <c r="A15" s="10" t="s">
        <v>40</v>
      </c>
      <c r="B15" s="11"/>
      <c r="C15" s="11"/>
      <c r="D15" s="11"/>
    </row>
  </sheetData>
  <mergeCells count="4">
    <mergeCell ref="A1:D1"/>
    <mergeCell ref="A2:D2"/>
    <mergeCell ref="A4:D4"/>
    <mergeCell ref="A14:D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0"/>
  <sheetViews>
    <sheetView showGridLines="0" zoomScaleNormal="100" workbookViewId="0"/>
  </sheetViews>
  <sheetFormatPr defaultColWidth="8.6640625" defaultRowHeight="14.4" x14ac:dyDescent="0.3"/>
  <cols>
    <col min="1" max="1" width="40" customWidth="1"/>
    <col min="2" max="2" width="9" customWidth="1"/>
    <col min="3" max="3" width="16" customWidth="1"/>
    <col min="4" max="4" width="10" customWidth="1"/>
    <col min="5" max="5" width="50" customWidth="1"/>
    <col min="6" max="8" width="1" customWidth="1"/>
  </cols>
  <sheetData>
    <row r="1" spans="1:8" ht="27.75" customHeight="1" x14ac:dyDescent="0.3">
      <c r="A1" s="254" t="s">
        <v>41</v>
      </c>
      <c r="B1" s="254"/>
      <c r="C1" s="254"/>
      <c r="D1" s="254"/>
      <c r="E1" s="254"/>
      <c r="F1" s="254"/>
      <c r="G1" s="254"/>
      <c r="H1" s="254"/>
    </row>
    <row r="2" spans="1:8" ht="12.75" customHeight="1" x14ac:dyDescent="0.3">
      <c r="A2" s="255" t="s">
        <v>42</v>
      </c>
      <c r="B2" s="255"/>
      <c r="C2" s="255"/>
      <c r="D2" s="255"/>
      <c r="E2" s="255"/>
      <c r="F2" s="255"/>
      <c r="G2" s="255"/>
      <c r="H2" s="255"/>
    </row>
    <row r="4" spans="1:8" ht="18" customHeight="1" x14ac:dyDescent="0.3">
      <c r="A4" s="256" t="s">
        <v>43</v>
      </c>
      <c r="B4" s="256"/>
      <c r="C4" s="256"/>
      <c r="D4" s="256"/>
      <c r="E4" s="256"/>
      <c r="F4" s="256"/>
      <c r="G4" s="256"/>
      <c r="H4" s="256"/>
    </row>
    <row r="5" spans="1:8" ht="21.75" customHeight="1" x14ac:dyDescent="0.3">
      <c r="A5" s="12" t="s">
        <v>44</v>
      </c>
      <c r="B5" s="12" t="s">
        <v>45</v>
      </c>
      <c r="C5" s="12" t="s">
        <v>46</v>
      </c>
      <c r="D5" s="12" t="s">
        <v>47</v>
      </c>
      <c r="E5" s="12" t="s">
        <v>48</v>
      </c>
      <c r="F5" s="12"/>
      <c r="G5" s="12"/>
      <c r="H5" s="12"/>
    </row>
    <row r="6" spans="1:8" ht="15.75" customHeight="1" x14ac:dyDescent="0.3">
      <c r="A6" s="3" t="s">
        <v>49</v>
      </c>
      <c r="B6" s="13" t="s">
        <v>27</v>
      </c>
      <c r="C6" s="14">
        <v>0</v>
      </c>
      <c r="D6" s="15" t="s">
        <v>50</v>
      </c>
      <c r="E6" s="247" t="s">
        <v>51</v>
      </c>
      <c r="F6" s="247"/>
      <c r="G6" s="247"/>
      <c r="H6" s="247"/>
    </row>
    <row r="7" spans="1:8" ht="15.75" customHeight="1" x14ac:dyDescent="0.3">
      <c r="A7" s="3" t="s">
        <v>52</v>
      </c>
      <c r="B7" s="16" t="s">
        <v>31</v>
      </c>
      <c r="C7" s="14">
        <v>4887.87</v>
      </c>
      <c r="D7" s="17" t="s">
        <v>50</v>
      </c>
      <c r="E7" s="249" t="s">
        <v>51</v>
      </c>
      <c r="F7" s="249"/>
      <c r="G7" s="249"/>
      <c r="H7" s="249"/>
    </row>
    <row r="8" spans="1:8" ht="15.75" customHeight="1" x14ac:dyDescent="0.3">
      <c r="A8" s="3" t="s">
        <v>53</v>
      </c>
      <c r="B8" s="13" t="s">
        <v>35</v>
      </c>
      <c r="C8" s="14">
        <v>14645.59</v>
      </c>
      <c r="D8" s="15" t="s">
        <v>50</v>
      </c>
      <c r="E8" s="247" t="s">
        <v>51</v>
      </c>
      <c r="F8" s="247"/>
      <c r="G8" s="247"/>
      <c r="H8" s="247"/>
    </row>
    <row r="9" spans="1:8" ht="15.75" customHeight="1" x14ac:dyDescent="0.3">
      <c r="A9" s="3" t="s">
        <v>54</v>
      </c>
      <c r="B9" s="16" t="s">
        <v>39</v>
      </c>
      <c r="C9" s="14">
        <v>0</v>
      </c>
      <c r="D9" s="17" t="s">
        <v>50</v>
      </c>
      <c r="E9" s="249" t="s">
        <v>51</v>
      </c>
      <c r="F9" s="249"/>
      <c r="G9" s="249"/>
      <c r="H9" s="249"/>
    </row>
    <row r="10" spans="1:8" ht="15.75" customHeight="1" x14ac:dyDescent="0.3">
      <c r="A10" s="3" t="s">
        <v>55</v>
      </c>
      <c r="B10" s="13" t="s">
        <v>56</v>
      </c>
      <c r="C10" s="14">
        <v>300561.87</v>
      </c>
      <c r="D10" s="15" t="s">
        <v>50</v>
      </c>
      <c r="E10" s="247" t="s">
        <v>51</v>
      </c>
      <c r="F10" s="247"/>
      <c r="G10" s="247"/>
      <c r="H10" s="247"/>
    </row>
    <row r="11" spans="1:8" ht="15.75" customHeight="1" x14ac:dyDescent="0.3">
      <c r="A11" s="3" t="s">
        <v>57</v>
      </c>
      <c r="B11" s="16" t="s">
        <v>58</v>
      </c>
      <c r="C11" s="18">
        <v>1.0740000000000001</v>
      </c>
      <c r="D11" s="17" t="s">
        <v>59</v>
      </c>
      <c r="E11" s="249" t="s">
        <v>60</v>
      </c>
      <c r="F11" s="249"/>
      <c r="G11" s="249"/>
      <c r="H11" s="249"/>
    </row>
    <row r="12" spans="1:8" ht="15.75" customHeight="1" x14ac:dyDescent="0.3">
      <c r="A12" s="3" t="s">
        <v>61</v>
      </c>
      <c r="B12" s="13" t="s">
        <v>62</v>
      </c>
      <c r="C12" s="18">
        <v>1024</v>
      </c>
      <c r="D12" s="15" t="s">
        <v>63</v>
      </c>
      <c r="E12" s="247" t="s">
        <v>64</v>
      </c>
      <c r="F12" s="247"/>
      <c r="G12" s="247"/>
      <c r="H12" s="247"/>
    </row>
    <row r="13" spans="1:8" ht="15.75" customHeight="1" x14ac:dyDescent="0.3">
      <c r="A13" s="7" t="s">
        <v>65</v>
      </c>
      <c r="B13" s="16" t="s">
        <v>66</v>
      </c>
      <c r="C13" s="19">
        <f>C6+C7+C8+C9+C10</f>
        <v>320095.33</v>
      </c>
      <c r="D13" s="17" t="s">
        <v>50</v>
      </c>
      <c r="E13" s="249" t="s">
        <v>67</v>
      </c>
      <c r="F13" s="249"/>
      <c r="G13" s="249"/>
      <c r="H13" s="249"/>
    </row>
    <row r="14" spans="1:8" ht="15.75" customHeight="1" x14ac:dyDescent="0.3">
      <c r="A14" s="7" t="s">
        <v>68</v>
      </c>
      <c r="B14" s="20" t="s">
        <v>69</v>
      </c>
      <c r="C14" s="21">
        <f>C13/C12</f>
        <v>312.59309570312502</v>
      </c>
      <c r="D14" s="22" t="s">
        <v>70</v>
      </c>
      <c r="E14" s="248" t="s">
        <v>71</v>
      </c>
      <c r="F14" s="248"/>
      <c r="G14" s="248"/>
      <c r="H14" s="248"/>
    </row>
    <row r="15" spans="1:8" ht="15.75" customHeight="1" x14ac:dyDescent="0.3">
      <c r="A15" s="7" t="s">
        <v>72</v>
      </c>
      <c r="B15" s="16" t="s">
        <v>73</v>
      </c>
      <c r="C15" s="19">
        <f>C13*C11</f>
        <v>343782.38442000002</v>
      </c>
      <c r="D15" s="17" t="s">
        <v>74</v>
      </c>
      <c r="E15" s="249" t="s">
        <v>75</v>
      </c>
      <c r="F15" s="249"/>
      <c r="G15" s="249"/>
      <c r="H15" s="249"/>
    </row>
    <row r="16" spans="1:8" ht="15.75" customHeight="1" x14ac:dyDescent="0.3">
      <c r="A16" s="7" t="s">
        <v>76</v>
      </c>
      <c r="B16" s="20" t="s">
        <v>77</v>
      </c>
      <c r="C16" s="21">
        <f>221472.95+72998.02</f>
        <v>294470.97000000003</v>
      </c>
      <c r="D16" s="22" t="s">
        <v>50</v>
      </c>
      <c r="E16" s="248" t="s">
        <v>78</v>
      </c>
      <c r="F16" s="248"/>
      <c r="G16" s="248"/>
      <c r="H16" s="248"/>
    </row>
    <row r="17" spans="1:8" ht="15.75" customHeight="1" x14ac:dyDescent="0.3">
      <c r="A17" s="7" t="s">
        <v>79</v>
      </c>
      <c r="B17" s="16" t="s">
        <v>80</v>
      </c>
      <c r="C17" s="19">
        <f>374040.18+349749.29+48444.2</f>
        <v>772233.66999999993</v>
      </c>
      <c r="D17" s="17" t="s">
        <v>50</v>
      </c>
      <c r="E17" s="249" t="s">
        <v>81</v>
      </c>
      <c r="F17" s="249"/>
      <c r="G17" s="249"/>
      <c r="H17" s="249"/>
    </row>
    <row r="18" spans="1:8" ht="15.75" customHeight="1" x14ac:dyDescent="0.3">
      <c r="A18" s="7" t="s">
        <v>82</v>
      </c>
      <c r="B18" s="20" t="s">
        <v>83</v>
      </c>
      <c r="C18" s="21">
        <f>C16*C11</f>
        <v>316261.82178000006</v>
      </c>
      <c r="D18" s="22" t="s">
        <v>74</v>
      </c>
      <c r="E18" s="248" t="s">
        <v>84</v>
      </c>
      <c r="F18" s="248"/>
      <c r="G18" s="248"/>
      <c r="H18" s="248"/>
    </row>
    <row r="19" spans="1:8" ht="15.75" customHeight="1" x14ac:dyDescent="0.3">
      <c r="A19" s="7" t="s">
        <v>85</v>
      </c>
      <c r="B19" s="16" t="s">
        <v>86</v>
      </c>
      <c r="C19" s="19">
        <f>C17*C11</f>
        <v>829378.96158</v>
      </c>
      <c r="D19" s="17" t="s">
        <v>74</v>
      </c>
      <c r="E19" s="249" t="s">
        <v>87</v>
      </c>
      <c r="F19" s="249"/>
      <c r="G19" s="249"/>
      <c r="H19" s="249"/>
    </row>
    <row r="21" spans="1:8" ht="18" customHeight="1" x14ac:dyDescent="0.3">
      <c r="A21" s="253" t="s">
        <v>88</v>
      </c>
      <c r="B21" s="253"/>
      <c r="C21" s="253"/>
      <c r="D21" s="253"/>
      <c r="E21" s="253"/>
      <c r="F21" s="253"/>
      <c r="G21" s="253"/>
      <c r="H21" s="253"/>
    </row>
    <row r="22" spans="1:8" ht="21.75" customHeight="1" x14ac:dyDescent="0.3">
      <c r="A22" s="23" t="s">
        <v>44</v>
      </c>
      <c r="B22" s="23" t="s">
        <v>45</v>
      </c>
      <c r="C22" s="23" t="s">
        <v>46</v>
      </c>
      <c r="D22" s="23" t="s">
        <v>47</v>
      </c>
      <c r="E22" s="23" t="s">
        <v>48</v>
      </c>
      <c r="F22" s="23"/>
      <c r="G22" s="23"/>
      <c r="H22" s="23"/>
    </row>
    <row r="23" spans="1:8" ht="15.75" customHeight="1" x14ac:dyDescent="0.3">
      <c r="A23" s="8" t="s">
        <v>89</v>
      </c>
      <c r="B23" s="16" t="s">
        <v>90</v>
      </c>
      <c r="C23" s="24">
        <v>0.02</v>
      </c>
      <c r="D23" s="17" t="s">
        <v>91</v>
      </c>
      <c r="E23" s="249" t="s">
        <v>92</v>
      </c>
      <c r="F23" s="249"/>
      <c r="G23" s="249"/>
      <c r="H23" s="249"/>
    </row>
    <row r="24" spans="1:8" ht="15.75" customHeight="1" x14ac:dyDescent="0.3">
      <c r="A24" s="8" t="s">
        <v>93</v>
      </c>
      <c r="B24" s="25" t="s">
        <v>94</v>
      </c>
      <c r="C24" s="24">
        <v>1.4999999999999999E-2</v>
      </c>
      <c r="D24" s="26" t="s">
        <v>91</v>
      </c>
      <c r="E24" s="252" t="s">
        <v>95</v>
      </c>
      <c r="F24" s="252"/>
      <c r="G24" s="252"/>
      <c r="H24" s="252"/>
    </row>
    <row r="25" spans="1:8" ht="15.75" customHeight="1" x14ac:dyDescent="0.3">
      <c r="A25" s="8" t="s">
        <v>96</v>
      </c>
      <c r="B25" s="16" t="s">
        <v>97</v>
      </c>
      <c r="C25" s="24">
        <v>0.01</v>
      </c>
      <c r="D25" s="17" t="s">
        <v>91</v>
      </c>
      <c r="E25" s="249" t="s">
        <v>98</v>
      </c>
      <c r="F25" s="249"/>
      <c r="G25" s="249"/>
      <c r="H25" s="249"/>
    </row>
    <row r="26" spans="1:8" ht="15.75" customHeight="1" x14ac:dyDescent="0.3">
      <c r="A26" s="8" t="s">
        <v>99</v>
      </c>
      <c r="B26" s="25" t="s">
        <v>100</v>
      </c>
      <c r="C26" s="24">
        <v>2E-3</v>
      </c>
      <c r="D26" s="26" t="s">
        <v>91</v>
      </c>
      <c r="E26" s="252" t="s">
        <v>101</v>
      </c>
      <c r="F26" s="252"/>
      <c r="G26" s="252"/>
      <c r="H26" s="252"/>
    </row>
    <row r="27" spans="1:8" ht="15.75" customHeight="1" x14ac:dyDescent="0.3">
      <c r="A27" s="8" t="s">
        <v>102</v>
      </c>
      <c r="B27" s="16" t="s">
        <v>103</v>
      </c>
      <c r="C27" s="27">
        <v>0.34279999999999999</v>
      </c>
      <c r="D27" s="17" t="s">
        <v>104</v>
      </c>
      <c r="E27" s="249" t="s">
        <v>105</v>
      </c>
      <c r="F27" s="249"/>
      <c r="G27" s="249"/>
      <c r="H27" s="249"/>
    </row>
    <row r="28" spans="1:8" ht="15.75" customHeight="1" x14ac:dyDescent="0.3">
      <c r="A28" s="8" t="s">
        <v>106</v>
      </c>
      <c r="B28" s="25" t="s">
        <v>107</v>
      </c>
      <c r="C28" s="24">
        <v>0.01</v>
      </c>
      <c r="D28" s="26" t="s">
        <v>108</v>
      </c>
      <c r="E28" s="252" t="s">
        <v>109</v>
      </c>
      <c r="F28" s="252"/>
      <c r="G28" s="252"/>
      <c r="H28" s="252"/>
    </row>
    <row r="29" spans="1:8" ht="15.75" customHeight="1" x14ac:dyDescent="0.3">
      <c r="A29" s="8" t="s">
        <v>110</v>
      </c>
      <c r="B29" s="16" t="s">
        <v>111</v>
      </c>
      <c r="C29" s="24">
        <v>0.03</v>
      </c>
      <c r="D29" s="17" t="s">
        <v>108</v>
      </c>
      <c r="E29" s="249" t="s">
        <v>112</v>
      </c>
      <c r="F29" s="249"/>
      <c r="G29" s="249"/>
      <c r="H29" s="249"/>
    </row>
    <row r="30" spans="1:8" ht="15.75" customHeight="1" x14ac:dyDescent="0.3">
      <c r="A30" s="8" t="s">
        <v>113</v>
      </c>
      <c r="B30" s="25" t="s">
        <v>114</v>
      </c>
      <c r="C30" s="24">
        <v>2.1999999999999999E-2</v>
      </c>
      <c r="D30" s="26" t="s">
        <v>108</v>
      </c>
      <c r="E30" s="252" t="s">
        <v>115</v>
      </c>
      <c r="F30" s="252"/>
      <c r="G30" s="252"/>
      <c r="H30" s="252"/>
    </row>
    <row r="31" spans="1:8" ht="15.75" customHeight="1" x14ac:dyDescent="0.3">
      <c r="A31" s="8" t="s">
        <v>116</v>
      </c>
      <c r="B31" s="16" t="s">
        <v>117</v>
      </c>
      <c r="C31" s="24">
        <v>8.6999999999999994E-2</v>
      </c>
      <c r="D31" s="17" t="s">
        <v>108</v>
      </c>
      <c r="E31" s="249" t="s">
        <v>118</v>
      </c>
      <c r="F31" s="249"/>
      <c r="G31" s="249"/>
      <c r="H31" s="249"/>
    </row>
    <row r="32" spans="1:8" ht="15.75" customHeight="1" x14ac:dyDescent="0.3">
      <c r="A32" s="8" t="s">
        <v>119</v>
      </c>
      <c r="B32" s="25" t="s">
        <v>120</v>
      </c>
      <c r="C32" s="24">
        <v>8.3000000000000004E-2</v>
      </c>
      <c r="D32" s="26" t="s">
        <v>108</v>
      </c>
      <c r="E32" s="252" t="s">
        <v>121</v>
      </c>
      <c r="F32" s="252"/>
      <c r="G32" s="252"/>
      <c r="H32" s="252"/>
    </row>
    <row r="33" spans="1:8" ht="15.75" customHeight="1" x14ac:dyDescent="0.3">
      <c r="A33" s="8" t="s">
        <v>122</v>
      </c>
      <c r="B33" s="16" t="s">
        <v>123</v>
      </c>
      <c r="C33" s="24">
        <v>7.0000000000000007E-2</v>
      </c>
      <c r="D33" s="17" t="s">
        <v>108</v>
      </c>
      <c r="E33" s="249" t="s">
        <v>124</v>
      </c>
      <c r="F33" s="249"/>
      <c r="G33" s="249"/>
      <c r="H33" s="249"/>
    </row>
    <row r="34" spans="1:8" ht="15.75" customHeight="1" x14ac:dyDescent="0.3">
      <c r="A34" s="8" t="s">
        <v>125</v>
      </c>
      <c r="B34" s="25" t="s">
        <v>126</v>
      </c>
      <c r="C34" s="24">
        <v>0.05</v>
      </c>
      <c r="D34" s="26" t="s">
        <v>108</v>
      </c>
      <c r="E34" s="252" t="s">
        <v>127</v>
      </c>
      <c r="F34" s="252"/>
      <c r="G34" s="252"/>
      <c r="H34" s="252"/>
    </row>
    <row r="36" spans="1:8" ht="18" customHeight="1" x14ac:dyDescent="0.3">
      <c r="A36" s="251" t="s">
        <v>128</v>
      </c>
      <c r="B36" s="251"/>
      <c r="C36" s="251"/>
      <c r="D36" s="251"/>
      <c r="E36" s="251"/>
      <c r="F36" s="251"/>
      <c r="G36" s="251"/>
      <c r="H36" s="251"/>
    </row>
    <row r="37" spans="1:8" ht="21.75" customHeight="1" x14ac:dyDescent="0.3">
      <c r="A37" s="28" t="s">
        <v>44</v>
      </c>
      <c r="B37" s="28" t="s">
        <v>45</v>
      </c>
      <c r="C37" s="28" t="s">
        <v>46</v>
      </c>
      <c r="D37" s="28" t="s">
        <v>47</v>
      </c>
      <c r="E37" s="28" t="s">
        <v>48</v>
      </c>
      <c r="F37" s="28"/>
      <c r="G37" s="28"/>
      <c r="H37" s="28"/>
    </row>
    <row r="38" spans="1:8" ht="15.75" customHeight="1" x14ac:dyDescent="0.3">
      <c r="A38" s="7" t="s">
        <v>129</v>
      </c>
      <c r="B38" s="20" t="s">
        <v>130</v>
      </c>
      <c r="C38" s="24">
        <v>2.3E-2</v>
      </c>
      <c r="D38" s="22" t="s">
        <v>91</v>
      </c>
      <c r="E38" s="248" t="s">
        <v>131</v>
      </c>
      <c r="F38" s="248"/>
      <c r="G38" s="248"/>
      <c r="H38" s="248"/>
    </row>
    <row r="39" spans="1:8" ht="15.75" customHeight="1" x14ac:dyDescent="0.3">
      <c r="A39" s="7" t="s">
        <v>132</v>
      </c>
      <c r="B39" s="16" t="s">
        <v>133</v>
      </c>
      <c r="C39" s="24">
        <v>2.4E-2</v>
      </c>
      <c r="D39" s="17" t="s">
        <v>91</v>
      </c>
      <c r="E39" s="249" t="s">
        <v>134</v>
      </c>
      <c r="F39" s="249"/>
      <c r="G39" s="249"/>
      <c r="H39" s="249"/>
    </row>
    <row r="40" spans="1:8" ht="15.75" customHeight="1" x14ac:dyDescent="0.3">
      <c r="A40" s="7" t="s">
        <v>135</v>
      </c>
      <c r="B40" s="20" t="s">
        <v>136</v>
      </c>
      <c r="C40" s="24">
        <v>1.2500000000000001E-2</v>
      </c>
      <c r="D40" s="22" t="s">
        <v>91</v>
      </c>
      <c r="E40" s="248" t="s">
        <v>137</v>
      </c>
      <c r="F40" s="248"/>
      <c r="G40" s="248"/>
      <c r="H40" s="248"/>
    </row>
    <row r="41" spans="1:8" ht="15.75" customHeight="1" x14ac:dyDescent="0.3">
      <c r="A41" s="7" t="s">
        <v>138</v>
      </c>
      <c r="B41" s="16" t="s">
        <v>139</v>
      </c>
      <c r="C41" s="24">
        <v>1.2999999999999999E-2</v>
      </c>
      <c r="D41" s="17" t="s">
        <v>91</v>
      </c>
      <c r="E41" s="249" t="s">
        <v>140</v>
      </c>
      <c r="F41" s="249"/>
      <c r="G41" s="249"/>
      <c r="H41" s="249"/>
    </row>
    <row r="42" spans="1:8" ht="15.75" customHeight="1" x14ac:dyDescent="0.3">
      <c r="A42" s="7" t="s">
        <v>141</v>
      </c>
      <c r="B42" s="20" t="s">
        <v>142</v>
      </c>
      <c r="C42" s="24">
        <v>4.0000000000000001E-3</v>
      </c>
      <c r="D42" s="22" t="s">
        <v>91</v>
      </c>
      <c r="E42" s="248" t="s">
        <v>143</v>
      </c>
      <c r="F42" s="248"/>
      <c r="G42" s="248"/>
      <c r="H42" s="248"/>
    </row>
    <row r="43" spans="1:8" ht="15.75" customHeight="1" x14ac:dyDescent="0.3">
      <c r="A43" s="7" t="s">
        <v>144</v>
      </c>
      <c r="B43" s="16" t="s">
        <v>145</v>
      </c>
      <c r="C43" s="24">
        <v>4.4999999999999997E-3</v>
      </c>
      <c r="D43" s="17" t="s">
        <v>91</v>
      </c>
      <c r="E43" s="249" t="s">
        <v>146</v>
      </c>
      <c r="F43" s="249"/>
      <c r="G43" s="249"/>
      <c r="H43" s="249"/>
    </row>
    <row r="44" spans="1:8" ht="15.75" customHeight="1" x14ac:dyDescent="0.3">
      <c r="A44" s="7" t="s">
        <v>147</v>
      </c>
      <c r="B44" s="20" t="s">
        <v>148</v>
      </c>
      <c r="C44" s="24">
        <v>9.8999999999999999E-4</v>
      </c>
      <c r="D44" s="22" t="s">
        <v>91</v>
      </c>
      <c r="E44" s="248" t="s">
        <v>149</v>
      </c>
      <c r="F44" s="248"/>
      <c r="G44" s="248"/>
      <c r="H44" s="248"/>
    </row>
    <row r="45" spans="1:8" ht="15.75" customHeight="1" x14ac:dyDescent="0.3">
      <c r="A45" s="7" t="s">
        <v>150</v>
      </c>
      <c r="B45" s="16" t="s">
        <v>151</v>
      </c>
      <c r="C45" s="24">
        <v>1E-3</v>
      </c>
      <c r="D45" s="17" t="s">
        <v>91</v>
      </c>
      <c r="E45" s="249" t="s">
        <v>152</v>
      </c>
      <c r="F45" s="249"/>
      <c r="G45" s="249"/>
      <c r="H45" s="249"/>
    </row>
    <row r="46" spans="1:8" ht="15.75" customHeight="1" x14ac:dyDescent="0.3">
      <c r="A46" s="7" t="s">
        <v>153</v>
      </c>
      <c r="B46" s="20" t="s">
        <v>154</v>
      </c>
      <c r="C46" s="24">
        <v>5.0000000000000001E-3</v>
      </c>
      <c r="D46" s="22" t="s">
        <v>155</v>
      </c>
      <c r="E46" s="248" t="s">
        <v>156</v>
      </c>
      <c r="F46" s="248"/>
      <c r="G46" s="248"/>
      <c r="H46" s="248"/>
    </row>
    <row r="47" spans="1:8" ht="15.75" customHeight="1" x14ac:dyDescent="0.3">
      <c r="A47" s="7" t="s">
        <v>157</v>
      </c>
      <c r="B47" s="16" t="s">
        <v>158</v>
      </c>
      <c r="C47" s="24">
        <v>0.01</v>
      </c>
      <c r="D47" s="17" t="s">
        <v>155</v>
      </c>
      <c r="E47" s="249" t="s">
        <v>159</v>
      </c>
      <c r="F47" s="249"/>
      <c r="G47" s="249"/>
      <c r="H47" s="249"/>
    </row>
    <row r="48" spans="1:8" ht="15.75" customHeight="1" x14ac:dyDescent="0.3">
      <c r="A48" s="7" t="s">
        <v>160</v>
      </c>
      <c r="B48" s="20" t="s">
        <v>161</v>
      </c>
      <c r="C48" s="24">
        <v>0.05</v>
      </c>
      <c r="D48" s="22" t="s">
        <v>155</v>
      </c>
      <c r="E48" s="248" t="s">
        <v>162</v>
      </c>
      <c r="F48" s="248"/>
      <c r="G48" s="248"/>
      <c r="H48" s="248"/>
    </row>
    <row r="49" spans="1:8" ht="15.75" customHeight="1" x14ac:dyDescent="0.3">
      <c r="A49" s="7" t="s">
        <v>163</v>
      </c>
      <c r="B49" s="16" t="s">
        <v>164</v>
      </c>
      <c r="C49" s="27">
        <v>0.02</v>
      </c>
      <c r="D49" s="17" t="s">
        <v>104</v>
      </c>
      <c r="E49" s="249" t="s">
        <v>165</v>
      </c>
      <c r="F49" s="249"/>
      <c r="G49" s="249"/>
      <c r="H49" s="249"/>
    </row>
    <row r="50" spans="1:8" ht="15.75" customHeight="1" x14ac:dyDescent="0.3">
      <c r="A50" s="7" t="s">
        <v>166</v>
      </c>
      <c r="B50" s="20" t="s">
        <v>167</v>
      </c>
      <c r="C50" s="24">
        <v>0.02</v>
      </c>
      <c r="D50" s="22" t="s">
        <v>108</v>
      </c>
      <c r="E50" s="248" t="s">
        <v>168</v>
      </c>
      <c r="F50" s="248"/>
      <c r="G50" s="248"/>
      <c r="H50" s="248"/>
    </row>
    <row r="51" spans="1:8" ht="15.75" customHeight="1" x14ac:dyDescent="0.3">
      <c r="A51" s="7" t="s">
        <v>169</v>
      </c>
      <c r="B51" s="16" t="s">
        <v>170</v>
      </c>
      <c r="C51" s="24">
        <v>0.09</v>
      </c>
      <c r="D51" s="17" t="s">
        <v>108</v>
      </c>
      <c r="E51" s="249" t="s">
        <v>171</v>
      </c>
      <c r="F51" s="249"/>
      <c r="G51" s="249"/>
      <c r="H51" s="249"/>
    </row>
    <row r="52" spans="1:8" ht="15.75" customHeight="1" x14ac:dyDescent="0.3">
      <c r="A52" s="7" t="s">
        <v>172</v>
      </c>
      <c r="B52" s="13" t="s">
        <v>173</v>
      </c>
      <c r="C52" s="29">
        <v>470</v>
      </c>
      <c r="D52" s="22" t="s">
        <v>174</v>
      </c>
      <c r="E52" s="247" t="s">
        <v>175</v>
      </c>
      <c r="F52" s="247"/>
      <c r="G52" s="247"/>
      <c r="H52" s="247"/>
    </row>
    <row r="53" spans="1:8" ht="15.75" customHeight="1" x14ac:dyDescent="0.3">
      <c r="A53" s="7" t="s">
        <v>176</v>
      </c>
      <c r="B53" s="13" t="s">
        <v>177</v>
      </c>
      <c r="C53" s="29">
        <v>0</v>
      </c>
      <c r="D53" s="22" t="s">
        <v>174</v>
      </c>
      <c r="E53" s="247" t="s">
        <v>178</v>
      </c>
      <c r="F53" s="247"/>
      <c r="G53" s="247"/>
      <c r="H53" s="247"/>
    </row>
    <row r="54" spans="1:8" ht="15.75" customHeight="1" x14ac:dyDescent="0.3">
      <c r="A54" s="7" t="s">
        <v>179</v>
      </c>
      <c r="B54" s="20" t="s">
        <v>180</v>
      </c>
      <c r="C54" s="30">
        <v>3</v>
      </c>
      <c r="D54" s="22" t="s">
        <v>181</v>
      </c>
      <c r="E54" s="248" t="s">
        <v>182</v>
      </c>
      <c r="F54" s="248"/>
      <c r="G54" s="248"/>
      <c r="H54" s="248"/>
    </row>
    <row r="55" spans="1:8" ht="15.75" customHeight="1" x14ac:dyDescent="0.3">
      <c r="A55" s="7" t="s">
        <v>183</v>
      </c>
      <c r="B55" s="16" t="s">
        <v>184</v>
      </c>
      <c r="C55" s="24">
        <v>31</v>
      </c>
      <c r="D55" s="17" t="s">
        <v>174</v>
      </c>
      <c r="E55" s="249" t="s">
        <v>185</v>
      </c>
      <c r="F55" s="249"/>
      <c r="G55" s="249"/>
      <c r="H55" s="249"/>
    </row>
    <row r="56" spans="1:8" ht="15.75" customHeight="1" x14ac:dyDescent="0.3">
      <c r="A56" s="7" t="s">
        <v>186</v>
      </c>
      <c r="B56" s="20" t="s">
        <v>187</v>
      </c>
      <c r="C56" s="24">
        <v>1</v>
      </c>
      <c r="D56" s="22" t="s">
        <v>174</v>
      </c>
      <c r="E56" s="248" t="s">
        <v>188</v>
      </c>
      <c r="F56" s="248"/>
      <c r="G56" s="248"/>
      <c r="H56" s="248"/>
    </row>
    <row r="57" spans="1:8" ht="15.75" customHeight="1" x14ac:dyDescent="0.3">
      <c r="A57" s="7" t="s">
        <v>189</v>
      </c>
      <c r="B57" s="16" t="s">
        <v>190</v>
      </c>
      <c r="C57" s="30">
        <v>3</v>
      </c>
      <c r="D57" s="17" t="s">
        <v>191</v>
      </c>
      <c r="E57" s="249" t="s">
        <v>192</v>
      </c>
      <c r="F57" s="249"/>
      <c r="G57" s="249"/>
      <c r="H57" s="249"/>
    </row>
    <row r="58" spans="1:8" ht="15.75" customHeight="1" x14ac:dyDescent="0.3">
      <c r="A58" s="7" t="s">
        <v>193</v>
      </c>
      <c r="B58" s="20" t="s">
        <v>194</v>
      </c>
      <c r="C58" s="24">
        <v>2</v>
      </c>
      <c r="D58" s="22" t="s">
        <v>174</v>
      </c>
      <c r="E58" s="248" t="s">
        <v>195</v>
      </c>
      <c r="F58" s="248"/>
      <c r="G58" s="248"/>
      <c r="H58" s="248"/>
    </row>
    <row r="59" spans="1:8" ht="15.75" customHeight="1" x14ac:dyDescent="0.3">
      <c r="A59" s="7" t="s">
        <v>196</v>
      </c>
      <c r="B59" s="16" t="s">
        <v>197</v>
      </c>
      <c r="C59" s="24">
        <v>10</v>
      </c>
      <c r="D59" s="17" t="s">
        <v>174</v>
      </c>
      <c r="E59" s="249" t="s">
        <v>198</v>
      </c>
      <c r="F59" s="249"/>
      <c r="G59" s="249"/>
      <c r="H59" s="249"/>
    </row>
    <row r="60" spans="1:8" ht="15.75" customHeight="1" x14ac:dyDescent="0.3">
      <c r="A60" s="7" t="s">
        <v>199</v>
      </c>
      <c r="B60" s="20" t="s">
        <v>200</v>
      </c>
      <c r="C60" s="24">
        <v>65</v>
      </c>
      <c r="D60" s="22" t="s">
        <v>174</v>
      </c>
      <c r="E60" s="248" t="s">
        <v>201</v>
      </c>
      <c r="F60" s="248"/>
      <c r="G60" s="248"/>
      <c r="H60" s="248"/>
    </row>
    <row r="61" spans="1:8" ht="15.75" customHeight="1" x14ac:dyDescent="0.3">
      <c r="A61" s="7" t="s">
        <v>202</v>
      </c>
      <c r="B61" s="16" t="s">
        <v>203</v>
      </c>
      <c r="C61" s="24">
        <v>86</v>
      </c>
      <c r="D61" s="17" t="s">
        <v>174</v>
      </c>
      <c r="E61" s="249" t="s">
        <v>204</v>
      </c>
      <c r="F61" s="249"/>
      <c r="G61" s="249"/>
      <c r="H61" s="249"/>
    </row>
    <row r="62" spans="1:8" ht="15.75" customHeight="1" x14ac:dyDescent="0.3">
      <c r="A62" s="7" t="s">
        <v>205</v>
      </c>
      <c r="B62" s="20" t="s">
        <v>206</v>
      </c>
      <c r="C62" s="24">
        <v>39</v>
      </c>
      <c r="D62" s="22" t="s">
        <v>174</v>
      </c>
      <c r="E62" s="248" t="s">
        <v>207</v>
      </c>
      <c r="F62" s="248"/>
      <c r="G62" s="248"/>
      <c r="H62" s="248"/>
    </row>
    <row r="63" spans="1:8" ht="15.75" customHeight="1" x14ac:dyDescent="0.3">
      <c r="A63" s="7" t="s">
        <v>208</v>
      </c>
      <c r="B63" s="16" t="s">
        <v>209</v>
      </c>
      <c r="C63" s="24">
        <v>1.2500000000000001E-2</v>
      </c>
      <c r="D63" s="17" t="s">
        <v>108</v>
      </c>
      <c r="E63" s="249" t="s">
        <v>210</v>
      </c>
      <c r="F63" s="249"/>
      <c r="G63" s="249"/>
      <c r="H63" s="249"/>
    </row>
    <row r="64" spans="1:8" ht="15.75" customHeight="1" x14ac:dyDescent="0.3">
      <c r="A64" s="7" t="s">
        <v>211</v>
      </c>
      <c r="B64" s="20" t="s">
        <v>212</v>
      </c>
      <c r="C64" s="27">
        <v>0.05</v>
      </c>
      <c r="D64" s="22" t="s">
        <v>104</v>
      </c>
      <c r="E64" s="248" t="s">
        <v>213</v>
      </c>
      <c r="F64" s="248"/>
      <c r="G64" s="248"/>
      <c r="H64" s="248"/>
    </row>
    <row r="65" spans="1:8" ht="15.75" customHeight="1" x14ac:dyDescent="0.3">
      <c r="A65" s="8" t="s">
        <v>214</v>
      </c>
      <c r="B65" s="16" t="s">
        <v>215</v>
      </c>
      <c r="C65" s="24">
        <v>10716.34</v>
      </c>
      <c r="D65" s="17" t="s">
        <v>174</v>
      </c>
      <c r="E65" s="249" t="s">
        <v>216</v>
      </c>
      <c r="F65" s="249"/>
      <c r="G65" s="249"/>
      <c r="H65" s="249"/>
    </row>
    <row r="66" spans="1:8" ht="15.75" customHeight="1" x14ac:dyDescent="0.3">
      <c r="A66" s="31" t="s">
        <v>217</v>
      </c>
      <c r="B66" s="13" t="s">
        <v>218</v>
      </c>
      <c r="C66" s="32">
        <v>24806.78</v>
      </c>
      <c r="D66" s="33" t="s">
        <v>174</v>
      </c>
      <c r="E66" s="250" t="s">
        <v>219</v>
      </c>
      <c r="F66" s="250"/>
      <c r="G66" s="250"/>
      <c r="H66" s="250"/>
    </row>
    <row r="67" spans="1:8" ht="15.75" customHeight="1" x14ac:dyDescent="0.3">
      <c r="A67" s="8" t="s">
        <v>220</v>
      </c>
      <c r="B67" s="13" t="s">
        <v>218</v>
      </c>
      <c r="C67" s="29">
        <v>3000</v>
      </c>
      <c r="D67" s="15" t="s">
        <v>174</v>
      </c>
      <c r="E67" s="247" t="s">
        <v>221</v>
      </c>
      <c r="F67" s="247"/>
      <c r="G67" s="247"/>
      <c r="H67" s="247"/>
    </row>
    <row r="68" spans="1:8" ht="32.25" customHeight="1" x14ac:dyDescent="0.3">
      <c r="A68" s="34" t="s">
        <v>222</v>
      </c>
      <c r="B68" s="35" t="s">
        <v>223</v>
      </c>
      <c r="C68" s="36">
        <f>C65+C67</f>
        <v>13716.34</v>
      </c>
      <c r="D68" s="37" t="s">
        <v>174</v>
      </c>
      <c r="E68" s="38" t="s">
        <v>224</v>
      </c>
      <c r="F68" s="11"/>
      <c r="G68" s="11"/>
      <c r="H68" s="11"/>
    </row>
    <row r="69" spans="1:8" ht="15.75" customHeight="1" x14ac:dyDescent="0.3">
      <c r="A69" s="7" t="s">
        <v>225</v>
      </c>
      <c r="B69" s="13" t="s">
        <v>226</v>
      </c>
      <c r="C69" s="14">
        <v>25624.36</v>
      </c>
      <c r="D69" s="39" t="s">
        <v>50</v>
      </c>
      <c r="E69" s="248" t="s">
        <v>227</v>
      </c>
      <c r="F69" s="248"/>
      <c r="G69" s="248"/>
      <c r="H69" s="248"/>
    </row>
    <row r="70" spans="1:8" ht="13.5" customHeight="1" x14ac:dyDescent="0.3">
      <c r="A70" s="7" t="s">
        <v>228</v>
      </c>
      <c r="B70" s="13" t="s">
        <v>229</v>
      </c>
      <c r="C70" s="40">
        <f>C69*C11</f>
        <v>27520.562640000004</v>
      </c>
      <c r="D70" s="39" t="s">
        <v>74</v>
      </c>
    </row>
  </sheetData>
  <mergeCells count="62">
    <mergeCell ref="A1:H1"/>
    <mergeCell ref="A2:H2"/>
    <mergeCell ref="A4:H4"/>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A21:H21"/>
    <mergeCell ref="E23:H23"/>
    <mergeCell ref="E24:H24"/>
    <mergeCell ref="E25:H25"/>
    <mergeCell ref="E26:H26"/>
    <mergeCell ref="E27:H27"/>
    <mergeCell ref="E28:H28"/>
    <mergeCell ref="E29:H29"/>
    <mergeCell ref="E30:H30"/>
    <mergeCell ref="E31:H31"/>
    <mergeCell ref="E32:H32"/>
    <mergeCell ref="E33:H33"/>
    <mergeCell ref="E34:H34"/>
    <mergeCell ref="A36:H36"/>
    <mergeCell ref="E38:H38"/>
    <mergeCell ref="E39:H39"/>
    <mergeCell ref="E40:H40"/>
    <mergeCell ref="E41:H41"/>
    <mergeCell ref="E42:H42"/>
    <mergeCell ref="E43:H43"/>
    <mergeCell ref="E44:H44"/>
    <mergeCell ref="E45:H45"/>
    <mergeCell ref="E46:H46"/>
    <mergeCell ref="E47:H47"/>
    <mergeCell ref="E48:H48"/>
    <mergeCell ref="E49:H49"/>
    <mergeCell ref="E50:H50"/>
    <mergeCell ref="E51:H51"/>
    <mergeCell ref="E52:H52"/>
    <mergeCell ref="E53:H53"/>
    <mergeCell ref="E54:H54"/>
    <mergeCell ref="E55:H55"/>
    <mergeCell ref="E56:H56"/>
    <mergeCell ref="E57:H57"/>
    <mergeCell ref="E58:H58"/>
    <mergeCell ref="E59:H59"/>
    <mergeCell ref="E60:H60"/>
    <mergeCell ref="E61:H61"/>
    <mergeCell ref="E67:H67"/>
    <mergeCell ref="E69:H69"/>
    <mergeCell ref="E62:H62"/>
    <mergeCell ref="E63:H63"/>
    <mergeCell ref="E64:H64"/>
    <mergeCell ref="E65:H65"/>
    <mergeCell ref="E66:H6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5"/>
  <sheetViews>
    <sheetView showGridLines="0" topLeftCell="A5" zoomScaleNormal="100" workbookViewId="0">
      <selection sqref="A1:L1"/>
    </sheetView>
  </sheetViews>
  <sheetFormatPr defaultColWidth="8.6640625" defaultRowHeight="14.4" x14ac:dyDescent="0.3"/>
  <cols>
    <col min="1" max="1" width="22" customWidth="1"/>
    <col min="2" max="2" width="14" customWidth="1"/>
    <col min="3" max="3" width="12" customWidth="1"/>
    <col min="4" max="5" width="14" customWidth="1"/>
    <col min="6" max="6" width="12" customWidth="1"/>
    <col min="7" max="12" width="14" customWidth="1"/>
  </cols>
  <sheetData>
    <row r="1" spans="1:12" ht="27.75" customHeight="1" x14ac:dyDescent="0.3">
      <c r="A1" s="254" t="s">
        <v>230</v>
      </c>
      <c r="B1" s="254"/>
      <c r="C1" s="254"/>
      <c r="D1" s="254"/>
      <c r="E1" s="254"/>
      <c r="F1" s="254"/>
      <c r="G1" s="254"/>
      <c r="H1" s="254"/>
      <c r="I1" s="254"/>
      <c r="J1" s="254"/>
      <c r="K1" s="254"/>
      <c r="L1" s="254"/>
    </row>
    <row r="2" spans="1:12" ht="12.75" customHeight="1" x14ac:dyDescent="0.3">
      <c r="A2" s="255" t="s">
        <v>231</v>
      </c>
      <c r="B2" s="255"/>
      <c r="C2" s="255"/>
      <c r="D2" s="255"/>
      <c r="E2" s="255"/>
      <c r="F2" s="255"/>
      <c r="G2" s="255"/>
      <c r="H2" s="255"/>
      <c r="I2" s="255"/>
      <c r="J2" s="255"/>
      <c r="K2" s="255"/>
      <c r="L2" s="255"/>
    </row>
    <row r="4" spans="1:12" ht="18" customHeight="1" x14ac:dyDescent="0.3">
      <c r="A4" s="269" t="s">
        <v>232</v>
      </c>
      <c r="B4" s="269"/>
      <c r="C4" s="269"/>
      <c r="D4" s="270" t="s">
        <v>233</v>
      </c>
      <c r="E4" s="270"/>
      <c r="F4" s="270"/>
      <c r="G4" s="271" t="s">
        <v>234</v>
      </c>
      <c r="H4" s="271"/>
      <c r="I4" s="271"/>
      <c r="J4" s="272" t="s">
        <v>235</v>
      </c>
      <c r="K4" s="272"/>
      <c r="L4" s="272"/>
    </row>
    <row r="5" spans="1:12" ht="33.75" customHeight="1" x14ac:dyDescent="0.3">
      <c r="A5" s="263">
        <f>Assumptions!C65+Assumptions!C66+Assumptions!C67</f>
        <v>38523.119999999995</v>
      </c>
      <c r="B5" s="263"/>
      <c r="C5" s="263"/>
      <c r="D5" s="264">
        <f>'Cost Comparison'!B39</f>
        <v>2291.1037687331</v>
      </c>
      <c r="E5" s="264"/>
      <c r="F5" s="264"/>
      <c r="G5" s="265">
        <f>Assumptions!C65+Assumptions!C66+Assumptions!C67-'Cost Comparison'!B39</f>
        <v>36232.016231266898</v>
      </c>
      <c r="H5" s="265"/>
      <c r="I5" s="265"/>
      <c r="J5" s="266">
        <f>'Migration Plan &amp; Costs'!C60+SUM('Financial Model (Jun26-Dec30)'!F30:F35)</f>
        <v>131953.28129969901</v>
      </c>
      <c r="K5" s="266"/>
      <c r="L5" s="266"/>
    </row>
    <row r="6" spans="1:12" ht="13.5" customHeight="1" x14ac:dyDescent="0.3">
      <c r="A6" s="267" t="str">
        <f>"$"&amp;TEXT((Assumptions!C65+Assumptions!C66+Assumptions!C67)*12,"#,##0")&amp;"/yr  |  HubStor $35,523 + Backup $3,000  |  1,042 TiB  |  5 regions"</f>
        <v>$462,277/yr  |  HubStor $35,523 + Backup $3,000  |  1,042 TiB  |  5 regions</v>
      </c>
      <c r="B6" s="267"/>
      <c r="C6" s="267"/>
      <c r="D6" s="267" t="str">
        <f>"$"&amp;TEXT('Cost Comparison'!B39*12,"#,##0")&amp;"/yr  |  320,095 GiB  |  S3 + 3 Gateway appliances"</f>
        <v>$27,493/yr  |  320,095 GiB  |  S3 + 3 Gateway appliances</v>
      </c>
      <c r="E6" s="267"/>
      <c r="F6" s="267"/>
      <c r="G6" s="267" t="str">
        <f>"$"&amp;TEXT((Assumptions!C65+Assumptions!C66+Assumptions!C67-'Cost Comparison'!B39)*12,"#,##0")&amp;"/yr saved  |  86.7% reduction  |  Realised from Jul 2027"</f>
        <v>$434,784/yr saved  |  86.7% reduction  |  Realised from Jul 2027</v>
      </c>
      <c r="H6" s="267"/>
      <c r="I6" s="267"/>
      <c r="J6" s="268" t="str">
        <f>"Phase 1 (non-disc to S3): ~$51,203  +  Phase 2 (disc hand-off): ~$86,843  =  ~$138,047 total"</f>
        <v>Phase 1 (non-disc to S3): ~$51,203  +  Phase 2 (disc hand-off): ~$86,843  =  ~$138,047 total</v>
      </c>
      <c r="K6" s="268"/>
      <c r="L6" s="268"/>
    </row>
    <row r="7" spans="1:12" ht="21.75" customHeight="1" x14ac:dyDescent="0.3">
      <c r="A7" s="262" t="s">
        <v>236</v>
      </c>
      <c r="B7" s="262"/>
      <c r="C7" s="262"/>
      <c r="D7" s="262"/>
      <c r="E7" s="262"/>
      <c r="F7" s="262"/>
      <c r="G7" s="262"/>
      <c r="H7" s="262"/>
      <c r="I7" s="262"/>
      <c r="J7" s="262"/>
      <c r="K7" s="262"/>
      <c r="L7" s="262"/>
    </row>
    <row r="8" spans="1:12" ht="18" customHeight="1" x14ac:dyDescent="0.3">
      <c r="A8" s="256" t="s">
        <v>237</v>
      </c>
      <c r="B8" s="256"/>
      <c r="C8" s="256"/>
      <c r="D8" s="256"/>
      <c r="E8" s="256"/>
      <c r="F8" s="256"/>
      <c r="G8" s="256"/>
      <c r="H8" s="256"/>
      <c r="I8" s="256"/>
      <c r="J8" s="256"/>
      <c r="K8" s="256"/>
      <c r="L8" s="256"/>
    </row>
    <row r="9" spans="1:12" ht="27.75" customHeight="1" x14ac:dyDescent="0.3">
      <c r="A9" s="12" t="s">
        <v>238</v>
      </c>
      <c r="B9" s="12" t="s">
        <v>239</v>
      </c>
      <c r="C9" s="12" t="s">
        <v>240</v>
      </c>
      <c r="D9" s="12" t="s">
        <v>241</v>
      </c>
      <c r="E9" s="12" t="s">
        <v>242</v>
      </c>
      <c r="F9" s="12" t="s">
        <v>243</v>
      </c>
      <c r="G9" s="12" t="s">
        <v>244</v>
      </c>
      <c r="H9" s="12" t="s">
        <v>245</v>
      </c>
      <c r="I9" s="12"/>
      <c r="J9" s="12"/>
      <c r="K9" s="12"/>
      <c r="L9" s="12"/>
    </row>
    <row r="10" spans="1:12" ht="15.75" customHeight="1" x14ac:dyDescent="0.3">
      <c r="A10" s="43" t="s">
        <v>246</v>
      </c>
      <c r="B10" s="44" t="s">
        <v>247</v>
      </c>
      <c r="C10" s="14">
        <v>221472.95</v>
      </c>
      <c r="D10" s="45" t="s">
        <v>248</v>
      </c>
      <c r="E10" s="46">
        <v>5798.59</v>
      </c>
      <c r="F10" s="46">
        <v>1882.71</v>
      </c>
      <c r="G10" s="47">
        <f>E10+F10</f>
        <v>7681.3</v>
      </c>
      <c r="H10" s="261" t="s">
        <v>249</v>
      </c>
      <c r="I10" s="261"/>
      <c r="J10" s="261"/>
      <c r="K10" s="261"/>
      <c r="L10" s="261"/>
    </row>
    <row r="11" spans="1:12" ht="15.75" customHeight="1" x14ac:dyDescent="0.3">
      <c r="A11" s="48" t="s">
        <v>250</v>
      </c>
      <c r="B11" s="49" t="s">
        <v>251</v>
      </c>
      <c r="C11" s="14">
        <v>48444.2</v>
      </c>
      <c r="D11" s="50" t="s">
        <v>248</v>
      </c>
      <c r="E11" s="46">
        <v>1337.27</v>
      </c>
      <c r="F11" s="46">
        <v>411.82</v>
      </c>
      <c r="G11" s="47">
        <f>E11+F11</f>
        <v>1749.09</v>
      </c>
      <c r="H11" s="260" t="s">
        <v>249</v>
      </c>
      <c r="I11" s="260"/>
      <c r="J11" s="260"/>
      <c r="K11" s="260"/>
      <c r="L11" s="260"/>
    </row>
    <row r="12" spans="1:12" ht="15.75" customHeight="1" x14ac:dyDescent="0.3">
      <c r="A12" s="43" t="s">
        <v>252</v>
      </c>
      <c r="B12" s="44" t="s">
        <v>253</v>
      </c>
      <c r="C12" s="14">
        <v>374040.18</v>
      </c>
      <c r="D12" s="45" t="s">
        <v>248</v>
      </c>
      <c r="E12" s="46">
        <v>9432.17</v>
      </c>
      <c r="F12" s="46">
        <v>3179.68</v>
      </c>
      <c r="G12" s="47">
        <f>E12+F12</f>
        <v>12611.85</v>
      </c>
      <c r="H12" s="261" t="s">
        <v>249</v>
      </c>
      <c r="I12" s="261"/>
      <c r="J12" s="261"/>
      <c r="K12" s="261"/>
      <c r="L12" s="261"/>
    </row>
    <row r="13" spans="1:12" ht="15.75" customHeight="1" x14ac:dyDescent="0.3">
      <c r="A13" s="48" t="s">
        <v>254</v>
      </c>
      <c r="B13" s="49" t="s">
        <v>255</v>
      </c>
      <c r="C13" s="14">
        <v>349749.29</v>
      </c>
      <c r="D13" s="50" t="s">
        <v>248</v>
      </c>
      <c r="E13" s="46">
        <v>8299.36</v>
      </c>
      <c r="F13" s="46">
        <v>2973.19</v>
      </c>
      <c r="G13" s="47">
        <f>E13+F13</f>
        <v>11272.550000000001</v>
      </c>
      <c r="H13" s="260" t="s">
        <v>249</v>
      </c>
      <c r="I13" s="260"/>
      <c r="J13" s="260"/>
      <c r="K13" s="260"/>
      <c r="L13" s="260"/>
    </row>
    <row r="14" spans="1:12" ht="15.75" customHeight="1" x14ac:dyDescent="0.3">
      <c r="A14" s="43" t="s">
        <v>256</v>
      </c>
      <c r="B14" s="44" t="s">
        <v>257</v>
      </c>
      <c r="C14" s="14">
        <v>72998.02</v>
      </c>
      <c r="D14" s="45" t="s">
        <v>248</v>
      </c>
      <c r="E14" s="46">
        <v>1587.78</v>
      </c>
      <c r="F14" s="46">
        <v>620.54999999999995</v>
      </c>
      <c r="G14" s="47">
        <f>E14+F14</f>
        <v>2208.33</v>
      </c>
      <c r="H14" s="261" t="s">
        <v>249</v>
      </c>
      <c r="I14" s="261"/>
      <c r="J14" s="261"/>
      <c r="K14" s="261"/>
      <c r="L14" s="261"/>
    </row>
    <row r="15" spans="1:12" ht="18" customHeight="1" x14ac:dyDescent="0.3">
      <c r="A15" s="51" t="s">
        <v>258</v>
      </c>
      <c r="B15" s="1" t="s">
        <v>259</v>
      </c>
      <c r="C15" s="52">
        <f>SUM(C10:C14)</f>
        <v>1066704.6400000001</v>
      </c>
      <c r="D15" s="53" t="s">
        <v>260</v>
      </c>
      <c r="E15" s="54">
        <f>SUM(E10:E14)</f>
        <v>26455.17</v>
      </c>
      <c r="F15" s="54">
        <f>SUM(F10:F14)</f>
        <v>9067.9499999999989</v>
      </c>
      <c r="G15" s="54">
        <f>SUM(G10:G14)</f>
        <v>35523.120000000003</v>
      </c>
      <c r="H15" s="53" t="s">
        <v>261</v>
      </c>
      <c r="I15" s="55"/>
      <c r="J15" s="55"/>
      <c r="K15" s="55"/>
      <c r="L15" s="55"/>
    </row>
    <row r="17" spans="1:12" ht="18" customHeight="1" x14ac:dyDescent="0.3">
      <c r="A17" s="245" t="s">
        <v>262</v>
      </c>
      <c r="B17" s="245"/>
      <c r="C17" s="245"/>
      <c r="D17" s="245"/>
      <c r="E17" s="245"/>
      <c r="F17" s="245"/>
      <c r="G17" s="245"/>
      <c r="H17" s="245"/>
      <c r="I17" s="245"/>
      <c r="J17" s="245"/>
      <c r="K17" s="245"/>
      <c r="L17" s="245"/>
    </row>
    <row r="18" spans="1:12" ht="24" customHeight="1" x14ac:dyDescent="0.3">
      <c r="A18" s="1" t="s">
        <v>263</v>
      </c>
      <c r="B18" s="1" t="s">
        <v>264</v>
      </c>
      <c r="C18" s="1" t="s">
        <v>265</v>
      </c>
      <c r="D18" s="1" t="s">
        <v>266</v>
      </c>
      <c r="E18" s="1" t="s">
        <v>267</v>
      </c>
      <c r="F18" s="1" t="s">
        <v>268</v>
      </c>
      <c r="G18" s="56"/>
      <c r="H18" s="56"/>
      <c r="I18" s="56"/>
      <c r="J18" s="56"/>
      <c r="K18" s="56"/>
      <c r="L18" s="56"/>
    </row>
    <row r="19" spans="1:12" ht="18" customHeight="1" x14ac:dyDescent="0.3">
      <c r="A19" s="3" t="s">
        <v>269</v>
      </c>
      <c r="B19" s="49" t="s">
        <v>270</v>
      </c>
      <c r="C19" s="19">
        <f>Assumptions!C6</f>
        <v>0</v>
      </c>
      <c r="D19" s="19">
        <f t="shared" ref="D19:D24" si="0">C19/1024</f>
        <v>0</v>
      </c>
      <c r="E19" s="57">
        <f>C19/Assumptions!C13</f>
        <v>0</v>
      </c>
      <c r="F19" s="58">
        <f>Assumptions!C23</f>
        <v>0.02</v>
      </c>
      <c r="G19" s="257"/>
      <c r="H19" s="257"/>
      <c r="I19" s="257"/>
      <c r="J19" s="257"/>
      <c r="K19" s="257"/>
      <c r="L19" s="257"/>
    </row>
    <row r="20" spans="1:12" ht="18" customHeight="1" x14ac:dyDescent="0.3">
      <c r="A20" s="3" t="s">
        <v>271</v>
      </c>
      <c r="B20" s="44" t="s">
        <v>270</v>
      </c>
      <c r="C20" s="40">
        <f>Assumptions!C7</f>
        <v>4887.87</v>
      </c>
      <c r="D20" s="40">
        <f t="shared" si="0"/>
        <v>4.7733105468749999</v>
      </c>
      <c r="E20" s="59">
        <f>C20/Assumptions!C13</f>
        <v>1.5270044708243634E-2</v>
      </c>
      <c r="F20" s="60">
        <f>Assumptions!C23</f>
        <v>0.02</v>
      </c>
      <c r="G20" s="258"/>
      <c r="H20" s="258"/>
      <c r="I20" s="258"/>
      <c r="J20" s="258"/>
      <c r="K20" s="258"/>
      <c r="L20" s="258"/>
    </row>
    <row r="21" spans="1:12" ht="18" customHeight="1" x14ac:dyDescent="0.3">
      <c r="A21" s="3" t="s">
        <v>272</v>
      </c>
      <c r="B21" s="49" t="s">
        <v>273</v>
      </c>
      <c r="C21" s="19">
        <f>Assumptions!C8</f>
        <v>14645.59</v>
      </c>
      <c r="D21" s="19">
        <f t="shared" si="0"/>
        <v>14.302333984375</v>
      </c>
      <c r="E21" s="57">
        <f>C21/Assumptions!C13</f>
        <v>4.5753838395580462E-2</v>
      </c>
      <c r="F21" s="58">
        <f>Assumptions!C24</f>
        <v>1.4999999999999999E-2</v>
      </c>
      <c r="G21" s="257"/>
      <c r="H21" s="257"/>
      <c r="I21" s="257"/>
      <c r="J21" s="257"/>
      <c r="K21" s="257"/>
      <c r="L21" s="257"/>
    </row>
    <row r="22" spans="1:12" ht="18" customHeight="1" x14ac:dyDescent="0.3">
      <c r="A22" s="3" t="s">
        <v>274</v>
      </c>
      <c r="B22" s="44" t="s">
        <v>275</v>
      </c>
      <c r="C22" s="40">
        <f>Assumptions!C9</f>
        <v>0</v>
      </c>
      <c r="D22" s="40">
        <f t="shared" si="0"/>
        <v>0</v>
      </c>
      <c r="E22" s="59">
        <f>C22/Assumptions!C13</f>
        <v>0</v>
      </c>
      <c r="F22" s="60">
        <f>Assumptions!C25</f>
        <v>0.01</v>
      </c>
      <c r="G22" s="258"/>
      <c r="H22" s="258"/>
      <c r="I22" s="258"/>
      <c r="J22" s="258"/>
      <c r="K22" s="258"/>
      <c r="L22" s="258"/>
    </row>
    <row r="23" spans="1:12" ht="18" customHeight="1" x14ac:dyDescent="0.3">
      <c r="A23" s="3" t="s">
        <v>276</v>
      </c>
      <c r="B23" s="49" t="s">
        <v>277</v>
      </c>
      <c r="C23" s="19">
        <f>Assumptions!C10</f>
        <v>300561.87</v>
      </c>
      <c r="D23" s="19">
        <f t="shared" si="0"/>
        <v>293.517451171875</v>
      </c>
      <c r="E23" s="57">
        <f>C23/Assumptions!C13</f>
        <v>0.93897611689617588</v>
      </c>
      <c r="F23" s="58">
        <f>Assumptions!C26</f>
        <v>2E-3</v>
      </c>
      <c r="G23" s="257"/>
      <c r="H23" s="257"/>
      <c r="I23" s="257"/>
      <c r="J23" s="257"/>
      <c r="K23" s="257"/>
      <c r="L23" s="257"/>
    </row>
    <row r="24" spans="1:12" ht="19.5" customHeight="1" x14ac:dyDescent="0.3">
      <c r="A24" s="51" t="s">
        <v>278</v>
      </c>
      <c r="B24" s="56"/>
      <c r="C24" s="52">
        <f>Assumptions!C13</f>
        <v>320095.33</v>
      </c>
      <c r="D24" s="52">
        <f t="shared" si="0"/>
        <v>312.59309570312502</v>
      </c>
      <c r="E24" s="61">
        <f>SUM(E19:E23)</f>
        <v>1</v>
      </c>
      <c r="F24" s="56"/>
      <c r="G24" s="259"/>
      <c r="H24" s="259"/>
      <c r="I24" s="259"/>
      <c r="J24" s="259"/>
      <c r="K24" s="259"/>
      <c r="L24" s="259"/>
    </row>
    <row r="25" spans="1:12" ht="15" customHeight="1" x14ac:dyDescent="0.3">
      <c r="A25" s="62"/>
      <c r="B25" s="62"/>
      <c r="C25" s="62"/>
      <c r="D25" s="62"/>
      <c r="E25" s="62"/>
      <c r="F25" s="62"/>
      <c r="G25" s="62"/>
      <c r="H25" s="62"/>
      <c r="I25" s="62"/>
      <c r="J25" s="62"/>
      <c r="K25" s="62"/>
      <c r="L25" s="62"/>
    </row>
  </sheetData>
  <mergeCells count="28">
    <mergeCell ref="A1:L1"/>
    <mergeCell ref="A2:L2"/>
    <mergeCell ref="A4:C4"/>
    <mergeCell ref="D4:F4"/>
    <mergeCell ref="G4:I4"/>
    <mergeCell ref="J4:L4"/>
    <mergeCell ref="A5:C5"/>
    <mergeCell ref="D5:F5"/>
    <mergeCell ref="G5:I5"/>
    <mergeCell ref="J5:L5"/>
    <mergeCell ref="A6:C6"/>
    <mergeCell ref="D6:F6"/>
    <mergeCell ref="G6:I6"/>
    <mergeCell ref="J6:L6"/>
    <mergeCell ref="A7:L7"/>
    <mergeCell ref="A8:L8"/>
    <mergeCell ref="H10:L10"/>
    <mergeCell ref="H11:L11"/>
    <mergeCell ref="H12:L12"/>
    <mergeCell ref="G21:L21"/>
    <mergeCell ref="G22:L22"/>
    <mergeCell ref="G23:L23"/>
    <mergeCell ref="G24:L24"/>
    <mergeCell ref="H13:L13"/>
    <mergeCell ref="H14:L14"/>
    <mergeCell ref="A17:L17"/>
    <mergeCell ref="G19:L19"/>
    <mergeCell ref="G20:L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1"/>
  <sheetViews>
    <sheetView showGridLines="0" topLeftCell="A11" zoomScaleNormal="100" workbookViewId="0">
      <selection sqref="A1:N1"/>
    </sheetView>
  </sheetViews>
  <sheetFormatPr defaultColWidth="8.6640625" defaultRowHeight="14.4" x14ac:dyDescent="0.3"/>
  <cols>
    <col min="1" max="1" width="38" customWidth="1"/>
    <col min="2" max="2" width="8" customWidth="1"/>
    <col min="3" max="5" width="14" customWidth="1"/>
    <col min="6" max="6" width="36" customWidth="1"/>
    <col min="7" max="14" width="1" customWidth="1"/>
  </cols>
  <sheetData>
    <row r="1" spans="1:14" ht="27.75" customHeight="1" x14ac:dyDescent="0.3">
      <c r="A1" s="254" t="s">
        <v>279</v>
      </c>
      <c r="B1" s="254"/>
      <c r="C1" s="254"/>
      <c r="D1" s="254"/>
      <c r="E1" s="254"/>
      <c r="F1" s="254"/>
      <c r="G1" s="254"/>
      <c r="H1" s="254"/>
      <c r="I1" s="254"/>
      <c r="J1" s="254"/>
      <c r="K1" s="254"/>
      <c r="L1" s="254"/>
      <c r="M1" s="254"/>
      <c r="N1" s="254"/>
    </row>
    <row r="2" spans="1:14" ht="12.75" customHeight="1" x14ac:dyDescent="0.3">
      <c r="A2" s="255" t="s">
        <v>280</v>
      </c>
      <c r="B2" s="255"/>
      <c r="C2" s="255"/>
      <c r="D2" s="255"/>
      <c r="E2" s="255"/>
      <c r="F2" s="255"/>
      <c r="G2" s="255"/>
      <c r="H2" s="255"/>
      <c r="I2" s="255"/>
      <c r="J2" s="255"/>
      <c r="K2" s="255"/>
      <c r="L2" s="255"/>
      <c r="M2" s="255"/>
      <c r="N2" s="255"/>
    </row>
    <row r="4" spans="1:14" ht="18" customHeight="1" x14ac:dyDescent="0.3">
      <c r="A4" s="256" t="s">
        <v>281</v>
      </c>
      <c r="B4" s="256"/>
      <c r="C4" s="256"/>
      <c r="D4" s="256"/>
      <c r="E4" s="256"/>
      <c r="F4" s="256"/>
      <c r="G4" s="256"/>
      <c r="H4" s="256"/>
      <c r="I4" s="256"/>
      <c r="J4" s="256"/>
      <c r="K4" s="256"/>
      <c r="L4" s="256"/>
      <c r="M4" s="256"/>
      <c r="N4" s="256"/>
    </row>
    <row r="5" spans="1:14" ht="31.5" customHeight="1" x14ac:dyDescent="0.3">
      <c r="A5" s="12" t="s">
        <v>282</v>
      </c>
      <c r="B5" s="12" t="s">
        <v>263</v>
      </c>
      <c r="C5" s="12" t="s">
        <v>268</v>
      </c>
      <c r="D5" s="12" t="s">
        <v>283</v>
      </c>
      <c r="E5" s="12" t="s">
        <v>284</v>
      </c>
      <c r="F5" s="12" t="s">
        <v>285</v>
      </c>
      <c r="G5" s="12" t="s">
        <v>283</v>
      </c>
      <c r="H5" s="12" t="s">
        <v>286</v>
      </c>
      <c r="I5" s="12" t="s">
        <v>283</v>
      </c>
      <c r="J5" s="12" t="s">
        <v>287</v>
      </c>
      <c r="K5" s="12" t="s">
        <v>288</v>
      </c>
      <c r="L5" s="12"/>
      <c r="M5" s="12"/>
      <c r="N5" s="12"/>
    </row>
    <row r="6" spans="1:14" ht="19.5" customHeight="1" x14ac:dyDescent="0.3">
      <c r="A6" s="3" t="s">
        <v>289</v>
      </c>
      <c r="B6" s="15" t="s">
        <v>289</v>
      </c>
      <c r="C6" s="60">
        <f>Assumptions!C23</f>
        <v>0.02</v>
      </c>
      <c r="D6" s="63" t="str">
        <f>Assumptions!C22</f>
        <v>Value</v>
      </c>
      <c r="E6" s="44" t="s">
        <v>270</v>
      </c>
      <c r="F6" s="64">
        <f>(Assumptions!C38+Assumptions!C39)/2</f>
        <v>2.35E-2</v>
      </c>
      <c r="G6" s="63" t="s">
        <v>290</v>
      </c>
      <c r="H6" s="65">
        <f>Assumptions!C27</f>
        <v>0.34279999999999999</v>
      </c>
      <c r="I6" s="66">
        <f>Assumptions!C26</f>
        <v>2E-3</v>
      </c>
      <c r="J6" s="15" t="s">
        <v>291</v>
      </c>
      <c r="K6" s="236" t="s">
        <v>292</v>
      </c>
      <c r="L6" s="236"/>
      <c r="M6" s="236"/>
      <c r="N6" s="236"/>
    </row>
    <row r="7" spans="1:14" ht="19.5" customHeight="1" x14ac:dyDescent="0.3">
      <c r="A7" s="3" t="s">
        <v>272</v>
      </c>
      <c r="B7" s="17" t="s">
        <v>272</v>
      </c>
      <c r="C7" s="58">
        <f>Assumptions!C24</f>
        <v>1.4999999999999999E-2</v>
      </c>
      <c r="D7" s="68">
        <f>Assumptions!C23</f>
        <v>0.02</v>
      </c>
      <c r="E7" s="49" t="s">
        <v>273</v>
      </c>
      <c r="F7" s="69">
        <f>(Assumptions!C40+Assumptions!C41)/2</f>
        <v>1.2750000000000001E-2</v>
      </c>
      <c r="G7" s="70">
        <f>(Assumptions!C38+Assumptions!C39)/2</f>
        <v>2.35E-2</v>
      </c>
      <c r="H7" s="71">
        <f>Assumptions!C27</f>
        <v>0.34279999999999999</v>
      </c>
      <c r="I7" s="68">
        <f>Assumptions!C26</f>
        <v>2E-3</v>
      </c>
      <c r="J7" s="17" t="s">
        <v>293</v>
      </c>
      <c r="K7" s="238" t="s">
        <v>294</v>
      </c>
      <c r="L7" s="238"/>
      <c r="M7" s="238"/>
      <c r="N7" s="238"/>
    </row>
    <row r="8" spans="1:14" ht="19.5" customHeight="1" x14ac:dyDescent="0.3">
      <c r="A8" s="3" t="s">
        <v>274</v>
      </c>
      <c r="B8" s="15" t="s">
        <v>274</v>
      </c>
      <c r="C8" s="60">
        <f>Assumptions!C25</f>
        <v>0.01</v>
      </c>
      <c r="D8" s="66">
        <f>Assumptions!C24</f>
        <v>1.4999999999999999E-2</v>
      </c>
      <c r="E8" s="44" t="s">
        <v>275</v>
      </c>
      <c r="F8" s="64">
        <f>(Assumptions!C42+Assumptions!C43)/2</f>
        <v>4.2500000000000003E-3</v>
      </c>
      <c r="G8" s="73">
        <f>(Assumptions!C40+Assumptions!C41)/2</f>
        <v>1.2750000000000001E-2</v>
      </c>
      <c r="H8" s="65">
        <f>Assumptions!C27</f>
        <v>0.34279999999999999</v>
      </c>
      <c r="I8" s="66">
        <f>Assumptions!C26</f>
        <v>2E-3</v>
      </c>
      <c r="J8" s="15" t="s">
        <v>295</v>
      </c>
      <c r="K8" s="236" t="s">
        <v>296</v>
      </c>
      <c r="L8" s="236"/>
      <c r="M8" s="236"/>
      <c r="N8" s="236"/>
    </row>
    <row r="9" spans="1:14" ht="19.5" customHeight="1" x14ac:dyDescent="0.3">
      <c r="A9" s="3" t="s">
        <v>276</v>
      </c>
      <c r="B9" s="17" t="s">
        <v>276</v>
      </c>
      <c r="C9" s="58">
        <f>Assumptions!C26</f>
        <v>2E-3</v>
      </c>
      <c r="D9" s="68">
        <f>Assumptions!C25</f>
        <v>0.01</v>
      </c>
      <c r="E9" s="49" t="s">
        <v>277</v>
      </c>
      <c r="F9" s="69">
        <f>(Assumptions!C44+Assumptions!C45)/2</f>
        <v>9.9500000000000001E-4</v>
      </c>
      <c r="G9" s="70">
        <f>(Assumptions!C42+Assumptions!C43)/2</f>
        <v>4.2500000000000003E-3</v>
      </c>
      <c r="H9" s="71">
        <f>Assumptions!C27</f>
        <v>0.34279999999999999</v>
      </c>
      <c r="I9" s="68">
        <f>Assumptions!C26</f>
        <v>2E-3</v>
      </c>
      <c r="J9" s="17" t="s">
        <v>297</v>
      </c>
      <c r="K9" s="238" t="s">
        <v>298</v>
      </c>
      <c r="L9" s="238"/>
      <c r="M9" s="238"/>
      <c r="N9" s="238"/>
    </row>
    <row r="11" spans="1:14" ht="27.75" customHeight="1" x14ac:dyDescent="0.3">
      <c r="A11" s="262" t="s">
        <v>299</v>
      </c>
      <c r="B11" s="262"/>
      <c r="C11" s="262"/>
      <c r="D11" s="262"/>
      <c r="E11" s="262"/>
      <c r="F11" s="262"/>
      <c r="G11" s="262"/>
      <c r="H11" s="262"/>
      <c r="I11" s="262"/>
      <c r="J11" s="262"/>
      <c r="K11" s="262"/>
      <c r="L11" s="262"/>
      <c r="M11" s="262"/>
      <c r="N11" s="262"/>
    </row>
    <row r="12" spans="1:14" ht="31.5" customHeight="1" x14ac:dyDescent="0.3">
      <c r="A12" s="1" t="s">
        <v>300</v>
      </c>
      <c r="B12" s="1" t="s">
        <v>265</v>
      </c>
      <c r="C12" s="1" t="s">
        <v>266</v>
      </c>
      <c r="D12" s="1" t="s">
        <v>301</v>
      </c>
      <c r="E12" s="1" t="s">
        <v>302</v>
      </c>
      <c r="F12" s="1" t="s">
        <v>283</v>
      </c>
      <c r="G12" s="1" t="s">
        <v>303</v>
      </c>
      <c r="H12" s="1" t="s">
        <v>283</v>
      </c>
      <c r="I12" s="1" t="s">
        <v>304</v>
      </c>
      <c r="J12" s="1" t="s">
        <v>283</v>
      </c>
      <c r="K12" s="1" t="s">
        <v>305</v>
      </c>
      <c r="L12" s="1" t="s">
        <v>283</v>
      </c>
      <c r="M12" s="1" t="s">
        <v>306</v>
      </c>
      <c r="N12" s="1" t="s">
        <v>283</v>
      </c>
    </row>
    <row r="13" spans="1:14" ht="19.5" customHeight="1" x14ac:dyDescent="0.3">
      <c r="A13" s="3" t="s">
        <v>289</v>
      </c>
      <c r="B13" s="19">
        <f>Assumptions!C6+Assumptions!C7</f>
        <v>4887.87</v>
      </c>
      <c r="C13" s="19">
        <f>B13/1024</f>
        <v>4.7733105468749999</v>
      </c>
      <c r="D13" s="74" t="s">
        <v>307</v>
      </c>
      <c r="E13" s="75">
        <f>B13*Assumptions!C11*Assumptions!C23</f>
        <v>104.99144760000001</v>
      </c>
      <c r="F13" s="76" t="s">
        <v>308</v>
      </c>
      <c r="G13" s="75">
        <f>E13*Assumptions!C27</f>
        <v>35.991068237280004</v>
      </c>
      <c r="H13" s="76" t="s">
        <v>309</v>
      </c>
      <c r="I13" s="75">
        <f>E13+G13</f>
        <v>140.98251583728</v>
      </c>
      <c r="J13" s="76" t="s">
        <v>310</v>
      </c>
      <c r="K13" s="47">
        <f>B13*Assumptions!C11*(Assumptions!C38+Assumptions!C39)/2</f>
        <v>123.36495093000001</v>
      </c>
      <c r="L13" s="77" t="s">
        <v>311</v>
      </c>
      <c r="M13" s="78">
        <f>I13-K13</f>
        <v>17.617564907279998</v>
      </c>
      <c r="N13" s="79" t="s">
        <v>312</v>
      </c>
    </row>
    <row r="14" spans="1:14" ht="19.5" customHeight="1" x14ac:dyDescent="0.3">
      <c r="A14" s="3" t="s">
        <v>272</v>
      </c>
      <c r="B14" s="40">
        <f>Assumptions!C8</f>
        <v>14645.59</v>
      </c>
      <c r="C14" s="40">
        <f>B14/1024</f>
        <v>14.302333984375</v>
      </c>
      <c r="D14" s="63" t="s">
        <v>313</v>
      </c>
      <c r="E14" s="75">
        <f>B14*Assumptions!C11*Assumptions!C24</f>
        <v>235.94045489999999</v>
      </c>
      <c r="F14" s="76" t="s">
        <v>314</v>
      </c>
      <c r="G14" s="75">
        <f>E14*Assumptions!C27</f>
        <v>80.880387939719995</v>
      </c>
      <c r="H14" s="76" t="s">
        <v>309</v>
      </c>
      <c r="I14" s="75">
        <f>E14+G14</f>
        <v>316.82084283972</v>
      </c>
      <c r="J14" s="76" t="s">
        <v>310</v>
      </c>
      <c r="K14" s="47">
        <f>B14*Assumptions!C11*(Assumptions!C40+Assumptions!C41)/2</f>
        <v>200.54938666500001</v>
      </c>
      <c r="L14" s="77" t="s">
        <v>315</v>
      </c>
      <c r="M14" s="78">
        <f>I14-K14</f>
        <v>116.27145617471999</v>
      </c>
      <c r="N14" s="79" t="s">
        <v>312</v>
      </c>
    </row>
    <row r="15" spans="1:14" ht="19.5" customHeight="1" x14ac:dyDescent="0.3">
      <c r="A15" s="3" t="s">
        <v>274</v>
      </c>
      <c r="B15" s="19">
        <f>Assumptions!C9</f>
        <v>0</v>
      </c>
      <c r="C15" s="19">
        <f>B15/1024</f>
        <v>0</v>
      </c>
      <c r="D15" s="74" t="s">
        <v>316</v>
      </c>
      <c r="E15" s="75">
        <f>B15*Assumptions!C11*Assumptions!C25</f>
        <v>0</v>
      </c>
      <c r="F15" s="76" t="s">
        <v>317</v>
      </c>
      <c r="G15" s="75">
        <f>E15*Assumptions!C27</f>
        <v>0</v>
      </c>
      <c r="H15" s="76" t="s">
        <v>309</v>
      </c>
      <c r="I15" s="75">
        <f>E15+G15</f>
        <v>0</v>
      </c>
      <c r="J15" s="76" t="s">
        <v>310</v>
      </c>
      <c r="K15" s="47">
        <f>B15*Assumptions!C11*(Assumptions!C42+Assumptions!C43)/2</f>
        <v>0</v>
      </c>
      <c r="L15" s="77" t="s">
        <v>318</v>
      </c>
      <c r="M15" s="78">
        <f>I15-K15</f>
        <v>0</v>
      </c>
      <c r="N15" s="79" t="s">
        <v>312</v>
      </c>
    </row>
    <row r="16" spans="1:14" ht="19.5" customHeight="1" x14ac:dyDescent="0.3">
      <c r="A16" s="3" t="s">
        <v>276</v>
      </c>
      <c r="B16" s="40">
        <f>Assumptions!C10</f>
        <v>300561.87</v>
      </c>
      <c r="C16" s="40">
        <f>B16/1024</f>
        <v>293.517451171875</v>
      </c>
      <c r="D16" s="63" t="s">
        <v>319</v>
      </c>
      <c r="E16" s="75">
        <f>B16*Assumptions!C11*Assumptions!C26</f>
        <v>645.60689676000004</v>
      </c>
      <c r="F16" s="76" t="s">
        <v>320</v>
      </c>
      <c r="G16" s="75">
        <f>E16*Assumptions!C27</f>
        <v>221.31404420932802</v>
      </c>
      <c r="H16" s="76" t="s">
        <v>309</v>
      </c>
      <c r="I16" s="75">
        <f>E16+G16</f>
        <v>866.92094096932806</v>
      </c>
      <c r="J16" s="76" t="s">
        <v>310</v>
      </c>
      <c r="K16" s="47">
        <f>B16*Assumptions!C11*(Assumptions!C44+Assumptions!C45)/2</f>
        <v>321.18943113810002</v>
      </c>
      <c r="L16" s="77" t="s">
        <v>321</v>
      </c>
      <c r="M16" s="78">
        <f>I16-K16</f>
        <v>545.7315098312281</v>
      </c>
      <c r="N16" s="79" t="s">
        <v>312</v>
      </c>
    </row>
    <row r="17" spans="1:14" ht="19.5" customHeight="1" x14ac:dyDescent="0.3">
      <c r="A17" s="51" t="s">
        <v>322</v>
      </c>
      <c r="B17" s="52">
        <f>SUM(B13:B16)</f>
        <v>320095.33</v>
      </c>
      <c r="C17" s="52">
        <f>SUM(C13:C16)</f>
        <v>312.59309570312502</v>
      </c>
      <c r="D17" s="55"/>
      <c r="E17" s="54">
        <f>SUM(E13:E16)</f>
        <v>986.53879926000002</v>
      </c>
      <c r="F17" s="55"/>
      <c r="G17" s="54">
        <f>SUM(G13:G16)</f>
        <v>338.18550038632804</v>
      </c>
      <c r="H17" s="55"/>
      <c r="I17" s="54">
        <f>SUM(I13:I16)</f>
        <v>1324.7242996463281</v>
      </c>
      <c r="J17" s="55"/>
      <c r="K17" s="54">
        <f>SUM(K13:K16)</f>
        <v>645.10376873309997</v>
      </c>
      <c r="L17" s="55"/>
      <c r="M17" s="54">
        <f>SUM(M13:M16)</f>
        <v>679.62053091322809</v>
      </c>
      <c r="N17" s="55"/>
    </row>
    <row r="19" spans="1:14" ht="18" customHeight="1" x14ac:dyDescent="0.3">
      <c r="A19" s="251" t="s">
        <v>323</v>
      </c>
      <c r="B19" s="251"/>
      <c r="C19" s="251"/>
      <c r="D19" s="251"/>
      <c r="E19" s="251"/>
      <c r="F19" s="251"/>
      <c r="G19" s="62"/>
      <c r="H19" s="62"/>
      <c r="I19" s="62"/>
      <c r="J19" s="62"/>
      <c r="K19" s="62"/>
      <c r="L19" s="62"/>
      <c r="M19" s="62"/>
      <c r="N19" s="62"/>
    </row>
    <row r="20" spans="1:14" ht="24" customHeight="1" x14ac:dyDescent="0.3">
      <c r="A20" s="28" t="s">
        <v>324</v>
      </c>
      <c r="B20" s="28" t="s">
        <v>325</v>
      </c>
      <c r="C20" s="28" t="s">
        <v>326</v>
      </c>
      <c r="D20" s="28" t="s">
        <v>327</v>
      </c>
      <c r="E20" s="28" t="s">
        <v>328</v>
      </c>
      <c r="F20" s="28" t="s">
        <v>288</v>
      </c>
      <c r="G20" s="80"/>
      <c r="H20" s="80"/>
      <c r="I20" s="80"/>
      <c r="J20" s="80"/>
      <c r="K20" s="80"/>
      <c r="L20" s="80"/>
      <c r="M20" s="80"/>
      <c r="N20" s="80"/>
    </row>
    <row r="21" spans="1:14" ht="19.5" customHeight="1" x14ac:dyDescent="0.3">
      <c r="A21" s="7" t="s">
        <v>329</v>
      </c>
      <c r="B21" s="81">
        <f>Assumptions!C54</f>
        <v>3</v>
      </c>
      <c r="C21" s="82">
        <f>Assumptions!C52</f>
        <v>470</v>
      </c>
      <c r="D21" s="83">
        <f t="shared" ref="D21:D29" si="0">B21*C21</f>
        <v>1410</v>
      </c>
      <c r="E21" s="82">
        <f t="shared" ref="E21:E29" si="1">D21*12</f>
        <v>16920</v>
      </c>
      <c r="F21" s="84" t="s">
        <v>330</v>
      </c>
      <c r="G21" s="80"/>
      <c r="H21" s="85"/>
      <c r="I21" s="80"/>
      <c r="J21" s="80"/>
      <c r="K21" s="62"/>
      <c r="L21" s="62"/>
      <c r="M21" s="62"/>
      <c r="N21" s="62"/>
    </row>
    <row r="22" spans="1:14" ht="19.5" customHeight="1" x14ac:dyDescent="0.3">
      <c r="A22" s="7" t="s">
        <v>331</v>
      </c>
      <c r="B22" s="86" t="s">
        <v>332</v>
      </c>
      <c r="C22" s="87">
        <f>Assumptions!C53</f>
        <v>0</v>
      </c>
      <c r="D22" s="83">
        <f t="shared" si="0"/>
        <v>0</v>
      </c>
      <c r="E22" s="87">
        <f t="shared" si="1"/>
        <v>0</v>
      </c>
      <c r="F22" s="88" t="s">
        <v>333</v>
      </c>
      <c r="G22" s="80"/>
      <c r="H22" s="85"/>
      <c r="I22" s="80"/>
      <c r="J22" s="80"/>
      <c r="K22" s="62"/>
      <c r="L22" s="62"/>
      <c r="M22" s="62"/>
      <c r="N22" s="62"/>
    </row>
    <row r="23" spans="1:14" ht="19.5" customHeight="1" x14ac:dyDescent="0.3">
      <c r="A23" s="7" t="s">
        <v>334</v>
      </c>
      <c r="B23" s="81" t="s">
        <v>332</v>
      </c>
      <c r="C23" s="82">
        <f>Assumptions!C55</f>
        <v>31</v>
      </c>
      <c r="D23" s="83">
        <f t="shared" si="0"/>
        <v>31</v>
      </c>
      <c r="E23" s="82">
        <f t="shared" si="1"/>
        <v>372</v>
      </c>
      <c r="F23" s="84" t="s">
        <v>335</v>
      </c>
      <c r="G23" s="80"/>
      <c r="H23" s="85"/>
      <c r="I23" s="80"/>
      <c r="J23" s="80"/>
      <c r="K23" s="62"/>
      <c r="L23" s="62"/>
      <c r="M23" s="62"/>
      <c r="N23" s="62"/>
    </row>
    <row r="24" spans="1:14" ht="19.5" customHeight="1" x14ac:dyDescent="0.3">
      <c r="A24" s="7" t="s">
        <v>336</v>
      </c>
      <c r="B24" s="86">
        <f>Assumptions!C57</f>
        <v>3</v>
      </c>
      <c r="C24" s="87">
        <f>Assumptions!C56</f>
        <v>1</v>
      </c>
      <c r="D24" s="83">
        <f t="shared" si="0"/>
        <v>3</v>
      </c>
      <c r="E24" s="87">
        <f t="shared" si="1"/>
        <v>36</v>
      </c>
      <c r="F24" s="88" t="s">
        <v>337</v>
      </c>
      <c r="G24" s="80"/>
      <c r="H24" s="85"/>
      <c r="I24" s="80"/>
      <c r="J24" s="80"/>
      <c r="K24" s="62"/>
      <c r="L24" s="62"/>
      <c r="M24" s="62"/>
      <c r="N24" s="62"/>
    </row>
    <row r="25" spans="1:14" ht="19.5" customHeight="1" x14ac:dyDescent="0.3">
      <c r="A25" s="7" t="s">
        <v>338</v>
      </c>
      <c r="B25" s="81" t="s">
        <v>332</v>
      </c>
      <c r="C25" s="82">
        <f>Assumptions!C58</f>
        <v>2</v>
      </c>
      <c r="D25" s="83">
        <f t="shared" si="0"/>
        <v>2</v>
      </c>
      <c r="E25" s="82">
        <f t="shared" si="1"/>
        <v>24</v>
      </c>
      <c r="F25" s="84" t="s">
        <v>339</v>
      </c>
      <c r="G25" s="89"/>
      <c r="H25" s="85"/>
      <c r="I25" s="80"/>
      <c r="J25" s="80"/>
      <c r="K25" s="62"/>
      <c r="L25" s="62"/>
      <c r="M25" s="62"/>
      <c r="N25" s="62"/>
    </row>
    <row r="26" spans="1:14" ht="19.5" customHeight="1" x14ac:dyDescent="0.3">
      <c r="A26" s="7" t="s">
        <v>340</v>
      </c>
      <c r="B26" s="86" t="s">
        <v>332</v>
      </c>
      <c r="C26" s="87">
        <f>Assumptions!C59</f>
        <v>10</v>
      </c>
      <c r="D26" s="83">
        <f t="shared" si="0"/>
        <v>10</v>
      </c>
      <c r="E26" s="87">
        <f t="shared" si="1"/>
        <v>120</v>
      </c>
      <c r="F26" s="88" t="s">
        <v>341</v>
      </c>
      <c r="G26" s="90"/>
      <c r="H26" s="85"/>
      <c r="I26" s="80"/>
      <c r="J26" s="80"/>
      <c r="K26" s="62"/>
      <c r="L26" s="62"/>
      <c r="M26" s="62"/>
      <c r="N26" s="62"/>
    </row>
    <row r="27" spans="1:14" ht="19.5" customHeight="1" x14ac:dyDescent="0.3">
      <c r="A27" s="7" t="s">
        <v>342</v>
      </c>
      <c r="B27" s="81" t="s">
        <v>332</v>
      </c>
      <c r="C27" s="82">
        <f>Assumptions!C60</f>
        <v>65</v>
      </c>
      <c r="D27" s="83">
        <f t="shared" si="0"/>
        <v>65</v>
      </c>
      <c r="E27" s="82">
        <f t="shared" si="1"/>
        <v>780</v>
      </c>
      <c r="F27" s="84" t="s">
        <v>343</v>
      </c>
      <c r="G27" s="89"/>
      <c r="H27" s="85"/>
      <c r="I27" s="80"/>
      <c r="J27" s="80"/>
      <c r="K27" s="62"/>
      <c r="L27" s="62"/>
      <c r="M27" s="62"/>
      <c r="N27" s="62"/>
    </row>
    <row r="28" spans="1:14" ht="19.5" customHeight="1" x14ac:dyDescent="0.3">
      <c r="A28" s="7" t="s">
        <v>344</v>
      </c>
      <c r="B28" s="86" t="s">
        <v>332</v>
      </c>
      <c r="C28" s="87">
        <f>Assumptions!C61</f>
        <v>86</v>
      </c>
      <c r="D28" s="83">
        <f t="shared" si="0"/>
        <v>86</v>
      </c>
      <c r="E28" s="87">
        <f t="shared" si="1"/>
        <v>1032</v>
      </c>
      <c r="F28" s="88" t="s">
        <v>345</v>
      </c>
      <c r="G28" s="89"/>
      <c r="H28" s="85"/>
      <c r="I28" s="80"/>
      <c r="J28" s="80"/>
      <c r="K28" s="62"/>
      <c r="L28" s="62"/>
      <c r="M28" s="62"/>
      <c r="N28" s="62"/>
    </row>
    <row r="29" spans="1:14" ht="19.5" customHeight="1" x14ac:dyDescent="0.3">
      <c r="A29" s="7" t="s">
        <v>346</v>
      </c>
      <c r="B29" s="81" t="s">
        <v>332</v>
      </c>
      <c r="C29" s="82">
        <f>Assumptions!C62</f>
        <v>39</v>
      </c>
      <c r="D29" s="83">
        <f t="shared" si="0"/>
        <v>39</v>
      </c>
      <c r="E29" s="82">
        <f t="shared" si="1"/>
        <v>468</v>
      </c>
      <c r="F29" s="84" t="s">
        <v>347</v>
      </c>
      <c r="G29" s="89"/>
      <c r="H29" s="85"/>
      <c r="I29" s="80"/>
      <c r="J29" s="80"/>
      <c r="K29" s="62"/>
      <c r="L29" s="62"/>
      <c r="M29" s="62"/>
      <c r="N29" s="62"/>
    </row>
    <row r="30" spans="1:14" ht="21.75" customHeight="1" x14ac:dyDescent="0.3">
      <c r="A30" s="273" t="s">
        <v>348</v>
      </c>
      <c r="B30" s="273"/>
      <c r="C30" s="273"/>
      <c r="D30" s="92">
        <f>SUM(D21:D29)</f>
        <v>1646</v>
      </c>
      <c r="E30" s="92">
        <f>SUM(E21:E29)</f>
        <v>19752</v>
      </c>
      <c r="F30" s="93"/>
      <c r="G30" s="80"/>
      <c r="H30" s="85"/>
      <c r="I30" s="80"/>
      <c r="J30" s="80"/>
      <c r="K30" s="80"/>
      <c r="L30" s="80"/>
      <c r="M30" s="80"/>
      <c r="N30" s="80"/>
    </row>
    <row r="31" spans="1:14" ht="15" customHeight="1" x14ac:dyDescent="0.3">
      <c r="A31" s="62"/>
      <c r="B31" s="62"/>
      <c r="C31" s="62"/>
      <c r="D31" s="62"/>
      <c r="E31" s="62"/>
      <c r="F31" s="62"/>
      <c r="G31" s="62"/>
      <c r="H31" s="62"/>
      <c r="I31" s="62"/>
      <c r="J31" s="62"/>
      <c r="K31" s="62"/>
      <c r="L31" s="62"/>
      <c r="M31" s="62"/>
      <c r="N31" s="62"/>
    </row>
    <row r="32" spans="1:14" ht="18" customHeight="1" x14ac:dyDescent="0.3">
      <c r="A32" s="245" t="s">
        <v>349</v>
      </c>
      <c r="B32" s="245"/>
      <c r="C32" s="245"/>
      <c r="D32" s="245"/>
      <c r="E32" s="245"/>
      <c r="F32" s="245"/>
      <c r="G32" s="62"/>
      <c r="H32" s="62"/>
      <c r="I32" s="62"/>
      <c r="J32" s="62"/>
      <c r="K32" s="62"/>
      <c r="L32" s="62"/>
      <c r="M32" s="62"/>
      <c r="N32" s="62"/>
    </row>
    <row r="33" spans="1:14" ht="24" customHeight="1" x14ac:dyDescent="0.3">
      <c r="A33" s="1" t="s">
        <v>350</v>
      </c>
      <c r="B33" s="1" t="s">
        <v>327</v>
      </c>
      <c r="C33" s="1" t="s">
        <v>328</v>
      </c>
      <c r="D33" s="1" t="s">
        <v>351</v>
      </c>
      <c r="E33" s="1" t="s">
        <v>352</v>
      </c>
      <c r="F33" s="1" t="s">
        <v>288</v>
      </c>
      <c r="G33" s="80"/>
      <c r="H33" s="80"/>
      <c r="I33" s="80"/>
      <c r="J33" s="80"/>
      <c r="K33" s="80"/>
      <c r="L33" s="80"/>
      <c r="M33" s="80"/>
      <c r="N33" s="80"/>
    </row>
    <row r="34" spans="1:14" ht="19.5" customHeight="1" x14ac:dyDescent="0.3">
      <c r="A34" s="8" t="s">
        <v>353</v>
      </c>
      <c r="B34" s="75">
        <f>Assumptions!C65+Assumptions!C66</f>
        <v>35523.119999999995</v>
      </c>
      <c r="C34" s="75">
        <f>(Assumptions!C65+Assumptions!C66)*12</f>
        <v>426277.43999999994</v>
      </c>
      <c r="D34" s="75" t="s">
        <v>354</v>
      </c>
      <c r="E34" s="94" t="s">
        <v>355</v>
      </c>
      <c r="F34" s="95" t="s">
        <v>356</v>
      </c>
      <c r="G34" s="62"/>
      <c r="H34" s="62"/>
      <c r="I34" s="62"/>
      <c r="J34" s="62"/>
      <c r="K34" s="62"/>
      <c r="L34" s="62"/>
      <c r="M34" s="62"/>
      <c r="N34" s="62"/>
    </row>
    <row r="35" spans="1:14" ht="19.5" customHeight="1" x14ac:dyDescent="0.3">
      <c r="A35" s="96" t="s">
        <v>357</v>
      </c>
      <c r="B35" s="97">
        <f>Assumptions!C67</f>
        <v>3000</v>
      </c>
      <c r="C35" s="98">
        <f>Assumptions!C67*12</f>
        <v>36000</v>
      </c>
      <c r="D35" s="99" t="s">
        <v>354</v>
      </c>
      <c r="E35" s="99" t="s">
        <v>355</v>
      </c>
      <c r="F35" s="100" t="s">
        <v>358</v>
      </c>
    </row>
    <row r="36" spans="1:14" ht="24" customHeight="1" x14ac:dyDescent="0.3">
      <c r="A36" s="34" t="s">
        <v>359</v>
      </c>
      <c r="B36" s="101">
        <f>B34+B35</f>
        <v>38523.119999999995</v>
      </c>
      <c r="C36" s="101">
        <f>C34+C35</f>
        <v>462277.43999999994</v>
      </c>
      <c r="D36" s="102" t="s">
        <v>354</v>
      </c>
      <c r="E36" s="103" t="s">
        <v>360</v>
      </c>
      <c r="F36" s="104" t="s">
        <v>361</v>
      </c>
      <c r="G36" s="62"/>
      <c r="H36" s="62"/>
      <c r="I36" s="62"/>
      <c r="J36" s="62"/>
      <c r="K36" s="62"/>
      <c r="L36" s="62"/>
      <c r="M36" s="62"/>
      <c r="N36" s="62"/>
    </row>
    <row r="37" spans="1:14" ht="19.5" customHeight="1" x14ac:dyDescent="0.3">
      <c r="A37" s="7" t="s">
        <v>362</v>
      </c>
      <c r="B37" s="47">
        <f>K17</f>
        <v>645.10376873309997</v>
      </c>
      <c r="C37" s="47">
        <f>K17*12</f>
        <v>7741.2452247971996</v>
      </c>
      <c r="D37" s="47">
        <f>B36-B37</f>
        <v>37878.016231266898</v>
      </c>
      <c r="E37" s="105">
        <f>(B36-B37)/B36</f>
        <v>0.98325411418563458</v>
      </c>
      <c r="F37" s="106" t="s">
        <v>363</v>
      </c>
      <c r="G37" s="62"/>
      <c r="H37" s="62"/>
      <c r="I37" s="62"/>
      <c r="J37" s="62"/>
      <c r="K37" s="62"/>
      <c r="L37" s="62"/>
      <c r="M37" s="62"/>
      <c r="N37" s="62"/>
    </row>
    <row r="38" spans="1:14" ht="19.5" customHeight="1" x14ac:dyDescent="0.3">
      <c r="A38" s="7" t="s">
        <v>364</v>
      </c>
      <c r="B38" s="47">
        <f>D30</f>
        <v>1646</v>
      </c>
      <c r="C38" s="47">
        <f>E30</f>
        <v>19752</v>
      </c>
      <c r="D38" s="47"/>
      <c r="E38" s="105"/>
      <c r="F38" s="106" t="s">
        <v>365</v>
      </c>
      <c r="G38" s="62"/>
      <c r="H38" s="62"/>
      <c r="I38" s="62"/>
      <c r="J38" s="62"/>
      <c r="K38" s="62"/>
      <c r="L38" s="62"/>
      <c r="M38" s="62"/>
      <c r="N38" s="62"/>
    </row>
    <row r="39" spans="1:14" ht="25.5" customHeight="1" x14ac:dyDescent="0.3">
      <c r="A39" s="91" t="s">
        <v>366</v>
      </c>
      <c r="B39" s="107">
        <f>B37+B38</f>
        <v>2291.1037687331</v>
      </c>
      <c r="C39" s="107">
        <f>C37+C38</f>
        <v>27493.2452247972</v>
      </c>
      <c r="D39" s="107">
        <f>B36-B39</f>
        <v>36232.016231266898</v>
      </c>
      <c r="E39" s="108">
        <f>(B36-B39)/B36</f>
        <v>0.94052652618134003</v>
      </c>
      <c r="F39" s="109" t="s">
        <v>367</v>
      </c>
      <c r="G39" s="80"/>
      <c r="H39" s="62"/>
      <c r="I39" s="62"/>
      <c r="J39" s="62"/>
      <c r="K39" s="62"/>
      <c r="L39" s="62"/>
      <c r="M39" s="62"/>
      <c r="N39" s="62"/>
    </row>
    <row r="40" spans="1:14" ht="15" customHeight="1" x14ac:dyDescent="0.3">
      <c r="A40" s="62"/>
      <c r="B40" s="110"/>
      <c r="C40" s="62"/>
      <c r="D40" s="110"/>
      <c r="E40" s="62"/>
      <c r="F40" s="62"/>
      <c r="G40" s="62"/>
      <c r="H40" s="62"/>
      <c r="I40" s="62"/>
      <c r="J40" s="62"/>
      <c r="K40" s="62"/>
      <c r="L40" s="62"/>
      <c r="M40" s="62"/>
      <c r="N40" s="62"/>
    </row>
    <row r="41" spans="1:14" ht="15" customHeight="1" x14ac:dyDescent="0.3">
      <c r="A41" s="62"/>
      <c r="B41" s="62"/>
      <c r="C41" s="62"/>
      <c r="D41" s="62"/>
      <c r="E41" s="62"/>
      <c r="F41" s="62"/>
      <c r="G41" s="62"/>
      <c r="H41" s="62"/>
      <c r="I41" s="62"/>
      <c r="J41" s="62"/>
      <c r="K41" s="62"/>
      <c r="L41" s="62"/>
      <c r="M41" s="62"/>
      <c r="N41" s="62"/>
    </row>
    <row r="42" spans="1:14" ht="15" customHeight="1" x14ac:dyDescent="0.3">
      <c r="A42" s="62"/>
      <c r="B42" s="62"/>
      <c r="C42" s="62"/>
      <c r="D42" s="62"/>
      <c r="E42" s="62"/>
      <c r="F42" s="62"/>
      <c r="G42" s="62"/>
      <c r="H42" s="62"/>
      <c r="I42" s="62"/>
      <c r="J42" s="62"/>
      <c r="K42" s="62"/>
      <c r="L42" s="62"/>
      <c r="M42" s="62"/>
      <c r="N42" s="62"/>
    </row>
    <row r="43" spans="1:14" ht="15" customHeight="1" x14ac:dyDescent="0.3">
      <c r="A43" s="62"/>
      <c r="B43" s="62"/>
      <c r="C43" s="62"/>
      <c r="D43" s="62"/>
      <c r="E43" s="62"/>
      <c r="F43" s="62"/>
      <c r="G43" s="62"/>
      <c r="H43" s="62"/>
      <c r="I43" s="62"/>
      <c r="J43" s="62"/>
      <c r="K43" s="62"/>
      <c r="L43" s="62"/>
      <c r="M43" s="62"/>
      <c r="N43" s="62"/>
    </row>
    <row r="44" spans="1:14" ht="15" customHeight="1" x14ac:dyDescent="0.3">
      <c r="A44" s="62"/>
      <c r="B44" s="62"/>
      <c r="C44" s="62"/>
      <c r="D44" s="62"/>
      <c r="E44" s="62"/>
      <c r="F44" s="62"/>
      <c r="G44" s="62"/>
      <c r="H44" s="62"/>
      <c r="I44" s="62"/>
      <c r="J44" s="62"/>
      <c r="K44" s="62"/>
      <c r="L44" s="62"/>
      <c r="M44" s="62"/>
      <c r="N44" s="62"/>
    </row>
    <row r="45" spans="1:14" ht="15" customHeight="1" x14ac:dyDescent="0.3">
      <c r="A45" s="62"/>
      <c r="B45" s="62"/>
      <c r="C45" s="62"/>
      <c r="D45" s="62"/>
      <c r="E45" s="62"/>
      <c r="F45" s="62"/>
      <c r="G45" s="62"/>
      <c r="H45" s="62"/>
      <c r="I45" s="62"/>
      <c r="J45" s="62"/>
      <c r="K45" s="62"/>
      <c r="L45" s="62"/>
      <c r="M45" s="62"/>
      <c r="N45" s="62"/>
    </row>
    <row r="46" spans="1:14" ht="15" customHeight="1" x14ac:dyDescent="0.3">
      <c r="A46" s="62"/>
      <c r="B46" s="62"/>
      <c r="C46" s="62"/>
      <c r="D46" s="62"/>
      <c r="E46" s="62"/>
      <c r="F46" s="62"/>
      <c r="G46" s="62"/>
      <c r="H46" s="62"/>
      <c r="I46" s="62"/>
      <c r="J46" s="62"/>
      <c r="K46" s="62"/>
      <c r="L46" s="62"/>
      <c r="M46" s="62"/>
      <c r="N46" s="62"/>
    </row>
    <row r="47" spans="1:14" ht="15" customHeight="1" x14ac:dyDescent="0.3">
      <c r="A47" s="62"/>
      <c r="B47" s="62"/>
      <c r="C47" s="62"/>
      <c r="D47" s="62"/>
      <c r="E47" s="62"/>
      <c r="F47" s="62"/>
      <c r="G47" s="62"/>
      <c r="H47" s="62"/>
      <c r="I47" s="62"/>
      <c r="J47" s="62"/>
      <c r="K47" s="62"/>
      <c r="L47" s="62"/>
      <c r="M47" s="62"/>
      <c r="N47" s="62"/>
    </row>
    <row r="48" spans="1:14" ht="15" customHeight="1" x14ac:dyDescent="0.3">
      <c r="A48" s="62"/>
      <c r="B48" s="62"/>
      <c r="C48" s="62"/>
      <c r="D48" s="62"/>
      <c r="E48" s="62"/>
      <c r="F48" s="62"/>
      <c r="G48" s="62"/>
      <c r="H48" s="62"/>
      <c r="I48" s="62"/>
      <c r="J48" s="62"/>
      <c r="K48" s="62"/>
      <c r="L48" s="62"/>
      <c r="M48" s="62"/>
      <c r="N48" s="62"/>
    </row>
    <row r="49" spans="1:14" ht="15" customHeight="1" x14ac:dyDescent="0.3">
      <c r="A49" s="62"/>
      <c r="B49" s="62"/>
      <c r="C49" s="62"/>
      <c r="D49" s="62"/>
      <c r="E49" s="62"/>
      <c r="F49" s="62"/>
      <c r="G49" s="62"/>
      <c r="H49" s="62"/>
      <c r="I49" s="62"/>
      <c r="J49" s="62"/>
      <c r="K49" s="62"/>
      <c r="L49" s="62"/>
      <c r="M49" s="62"/>
      <c r="N49" s="62"/>
    </row>
    <row r="50" spans="1:14" ht="15" customHeight="1" x14ac:dyDescent="0.3">
      <c r="A50" s="62"/>
      <c r="B50" s="62"/>
      <c r="C50" s="62"/>
      <c r="D50" s="62"/>
      <c r="E50" s="62"/>
      <c r="F50" s="62"/>
      <c r="G50" s="62"/>
      <c r="H50" s="62"/>
      <c r="I50" s="62"/>
      <c r="J50" s="62"/>
      <c r="K50" s="62"/>
      <c r="L50" s="62"/>
      <c r="M50" s="62"/>
      <c r="N50" s="62"/>
    </row>
    <row r="51" spans="1:14" ht="15" customHeight="1" x14ac:dyDescent="0.3">
      <c r="A51" s="62"/>
      <c r="B51" s="62"/>
      <c r="C51" s="62"/>
      <c r="D51" s="62"/>
      <c r="E51" s="62"/>
      <c r="F51" s="62"/>
      <c r="G51" s="62"/>
      <c r="H51" s="62"/>
      <c r="I51" s="62"/>
      <c r="J51" s="62"/>
      <c r="K51" s="62"/>
      <c r="L51" s="62"/>
      <c r="M51" s="62"/>
      <c r="N51" s="62"/>
    </row>
    <row r="52" spans="1:14" ht="15" customHeight="1" x14ac:dyDescent="0.3">
      <c r="A52" s="62"/>
      <c r="B52" s="62"/>
      <c r="C52" s="62"/>
      <c r="D52" s="62"/>
      <c r="E52" s="62"/>
      <c r="F52" s="62"/>
      <c r="G52" s="62"/>
      <c r="H52" s="62"/>
      <c r="I52" s="62"/>
      <c r="J52" s="62"/>
      <c r="K52" s="62"/>
      <c r="L52" s="62"/>
      <c r="M52" s="62"/>
      <c r="N52" s="62"/>
    </row>
    <row r="53" spans="1:14" ht="15" customHeight="1" x14ac:dyDescent="0.3">
      <c r="A53" s="62"/>
      <c r="B53" s="62"/>
      <c r="C53" s="62"/>
      <c r="D53" s="62"/>
      <c r="E53" s="62"/>
      <c r="F53" s="62"/>
      <c r="G53" s="62"/>
      <c r="H53" s="62"/>
      <c r="I53" s="62"/>
      <c r="J53" s="62"/>
      <c r="K53" s="62"/>
      <c r="L53" s="62"/>
      <c r="M53" s="62"/>
      <c r="N53" s="62"/>
    </row>
    <row r="54" spans="1:14" ht="15" customHeight="1" x14ac:dyDescent="0.3">
      <c r="A54" s="62"/>
      <c r="B54" s="62"/>
      <c r="C54" s="62"/>
      <c r="D54" s="62"/>
      <c r="E54" s="62"/>
      <c r="F54" s="62"/>
      <c r="G54" s="62"/>
      <c r="H54" s="62"/>
      <c r="I54" s="62"/>
      <c r="J54" s="62"/>
      <c r="K54" s="62"/>
      <c r="L54" s="62"/>
      <c r="M54" s="62"/>
      <c r="N54" s="62"/>
    </row>
    <row r="55" spans="1:14" ht="15" customHeight="1" x14ac:dyDescent="0.3">
      <c r="A55" s="62"/>
      <c r="B55" s="62"/>
      <c r="C55" s="62"/>
      <c r="D55" s="62"/>
      <c r="E55" s="62"/>
      <c r="F55" s="62"/>
      <c r="G55" s="62"/>
      <c r="H55" s="62"/>
      <c r="I55" s="62"/>
      <c r="J55" s="62"/>
      <c r="K55" s="62"/>
      <c r="L55" s="62"/>
      <c r="M55" s="62"/>
      <c r="N55" s="62"/>
    </row>
    <row r="56" spans="1:14" ht="15" customHeight="1" x14ac:dyDescent="0.3">
      <c r="A56" s="62"/>
      <c r="B56" s="62"/>
      <c r="C56" s="62"/>
      <c r="D56" s="62"/>
      <c r="E56" s="62"/>
      <c r="F56" s="62"/>
      <c r="G56" s="62"/>
      <c r="H56" s="62"/>
      <c r="I56" s="62"/>
      <c r="J56" s="62"/>
      <c r="K56" s="62"/>
      <c r="L56" s="62"/>
      <c r="M56" s="62"/>
      <c r="N56" s="62"/>
    </row>
    <row r="57" spans="1:14" ht="15" customHeight="1" x14ac:dyDescent="0.3">
      <c r="A57" s="62"/>
      <c r="B57" s="62"/>
      <c r="C57" s="62"/>
      <c r="D57" s="62"/>
      <c r="E57" s="62"/>
      <c r="F57" s="62"/>
      <c r="G57" s="62"/>
      <c r="H57" s="62"/>
      <c r="I57" s="62"/>
      <c r="J57" s="62"/>
      <c r="K57" s="62"/>
      <c r="L57" s="62"/>
      <c r="M57" s="62"/>
      <c r="N57" s="62"/>
    </row>
    <row r="58" spans="1:14" ht="15" customHeight="1" x14ac:dyDescent="0.3">
      <c r="A58" s="62"/>
      <c r="B58" s="62"/>
      <c r="C58" s="62"/>
      <c r="D58" s="62"/>
      <c r="E58" s="62"/>
      <c r="F58" s="62"/>
      <c r="G58" s="62"/>
      <c r="H58" s="62"/>
      <c r="I58" s="62"/>
      <c r="J58" s="62"/>
      <c r="K58" s="62"/>
      <c r="L58" s="62"/>
      <c r="M58" s="62"/>
      <c r="N58" s="62"/>
    </row>
    <row r="59" spans="1:14" ht="15" customHeight="1" x14ac:dyDescent="0.3">
      <c r="A59" s="62"/>
      <c r="B59" s="62"/>
      <c r="C59" s="62"/>
      <c r="D59" s="62"/>
      <c r="E59" s="62"/>
      <c r="F59" s="62"/>
      <c r="G59" s="62"/>
      <c r="H59" s="62"/>
      <c r="I59" s="62"/>
      <c r="J59" s="62"/>
      <c r="K59" s="62"/>
      <c r="L59" s="62"/>
      <c r="M59" s="62"/>
      <c r="N59" s="62"/>
    </row>
    <row r="60" spans="1:14" ht="15" customHeight="1" x14ac:dyDescent="0.3">
      <c r="A60" s="62"/>
      <c r="B60" s="62"/>
      <c r="C60" s="62"/>
      <c r="D60" s="62"/>
      <c r="E60" s="62"/>
      <c r="F60" s="62"/>
      <c r="G60" s="62"/>
      <c r="H60" s="62"/>
      <c r="I60" s="62"/>
      <c r="J60" s="62"/>
      <c r="K60" s="62"/>
      <c r="L60" s="62"/>
      <c r="M60" s="62"/>
      <c r="N60" s="62"/>
    </row>
    <row r="61" spans="1:14" ht="15" customHeight="1" x14ac:dyDescent="0.3">
      <c r="A61" s="62"/>
      <c r="B61" s="62"/>
      <c r="C61" s="62"/>
      <c r="D61" s="62"/>
      <c r="E61" s="62"/>
      <c r="F61" s="62"/>
      <c r="G61" s="62"/>
      <c r="H61" s="62"/>
      <c r="I61" s="62"/>
      <c r="J61" s="62"/>
      <c r="K61" s="62"/>
      <c r="L61" s="62"/>
      <c r="M61" s="62"/>
      <c r="N61" s="62"/>
    </row>
  </sheetData>
  <mergeCells count="11">
    <mergeCell ref="A1:N1"/>
    <mergeCell ref="A2:N2"/>
    <mergeCell ref="A4:N4"/>
    <mergeCell ref="K6:N6"/>
    <mergeCell ref="K7:N7"/>
    <mergeCell ref="A32:F32"/>
    <mergeCell ref="K8:N8"/>
    <mergeCell ref="K9:N9"/>
    <mergeCell ref="A11:N11"/>
    <mergeCell ref="A19:F19"/>
    <mergeCell ref="A30:C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8"/>
  <sheetViews>
    <sheetView showGridLines="0" topLeftCell="A59" zoomScaleNormal="100" workbookViewId="0">
      <selection sqref="A1:J1"/>
    </sheetView>
  </sheetViews>
  <sheetFormatPr defaultColWidth="8.6640625" defaultRowHeight="14.4" x14ac:dyDescent="0.3"/>
  <cols>
    <col min="1" max="1" width="36" customWidth="1"/>
    <col min="2" max="2" width="16" customWidth="1"/>
    <col min="3" max="3" width="40" customWidth="1"/>
    <col min="4" max="4" width="14" customWidth="1"/>
    <col min="5" max="5" width="36" customWidth="1"/>
    <col min="6" max="6" width="14" customWidth="1"/>
    <col min="7" max="7" width="36" customWidth="1"/>
    <col min="8" max="8" width="14" customWidth="1"/>
    <col min="9" max="9" width="36" customWidth="1"/>
    <col min="10" max="10" width="1" customWidth="1"/>
  </cols>
  <sheetData>
    <row r="1" spans="1:10" ht="27.75" customHeight="1" x14ac:dyDescent="0.3">
      <c r="A1" s="254" t="s">
        <v>368</v>
      </c>
      <c r="B1" s="254"/>
      <c r="C1" s="254"/>
      <c r="D1" s="254"/>
      <c r="E1" s="254"/>
      <c r="F1" s="254"/>
      <c r="G1" s="254"/>
      <c r="H1" s="254"/>
      <c r="I1" s="254"/>
      <c r="J1" s="254"/>
    </row>
    <row r="2" spans="1:10" ht="12.75" customHeight="1" x14ac:dyDescent="0.3">
      <c r="A2" s="255" t="s">
        <v>369</v>
      </c>
      <c r="B2" s="255"/>
      <c r="C2" s="255"/>
      <c r="D2" s="255"/>
      <c r="E2" s="255"/>
      <c r="F2" s="255"/>
      <c r="G2" s="255"/>
      <c r="H2" s="255"/>
      <c r="I2" s="255"/>
      <c r="J2" s="255"/>
    </row>
    <row r="4" spans="1:10" ht="18" customHeight="1" x14ac:dyDescent="0.3">
      <c r="A4" s="293" t="s">
        <v>370</v>
      </c>
      <c r="B4" s="293"/>
      <c r="C4" s="293"/>
      <c r="D4" s="293"/>
      <c r="E4" s="293"/>
      <c r="F4" s="293"/>
      <c r="G4" s="293"/>
      <c r="H4" s="293"/>
      <c r="I4" s="293"/>
      <c r="J4" s="293"/>
    </row>
    <row r="5" spans="1:10" ht="13.5" customHeight="1" x14ac:dyDescent="0.3">
      <c r="A5" s="284" t="s">
        <v>371</v>
      </c>
      <c r="B5" s="284"/>
      <c r="C5" s="284"/>
      <c r="D5" s="284"/>
      <c r="E5" s="284"/>
      <c r="F5" s="284"/>
      <c r="G5" s="284"/>
      <c r="H5" s="284"/>
      <c r="I5" s="284"/>
      <c r="J5" s="284"/>
    </row>
    <row r="6" spans="1:10" ht="27.75" customHeight="1" x14ac:dyDescent="0.3">
      <c r="A6" s="42" t="s">
        <v>263</v>
      </c>
      <c r="B6" s="42" t="s">
        <v>372</v>
      </c>
      <c r="C6" s="42" t="s">
        <v>373</v>
      </c>
      <c r="D6" s="42" t="s">
        <v>374</v>
      </c>
      <c r="E6" s="42" t="s">
        <v>375</v>
      </c>
      <c r="F6" s="42" t="s">
        <v>283</v>
      </c>
      <c r="G6" s="42" t="s">
        <v>376</v>
      </c>
      <c r="H6" s="42" t="s">
        <v>283</v>
      </c>
      <c r="I6" s="42" t="s">
        <v>288</v>
      </c>
      <c r="J6" s="42"/>
    </row>
    <row r="7" spans="1:10" ht="18" customHeight="1" x14ac:dyDescent="0.3">
      <c r="A7" s="3" t="s">
        <v>269</v>
      </c>
      <c r="B7" s="19">
        <f>Assumptions!C6</f>
        <v>0</v>
      </c>
      <c r="C7" s="19">
        <f>B7*Assumptions!C11</f>
        <v>0</v>
      </c>
      <c r="D7" s="74" t="s">
        <v>377</v>
      </c>
      <c r="E7" s="58">
        <v>0</v>
      </c>
      <c r="F7" s="111">
        <v>0</v>
      </c>
      <c r="G7" s="47">
        <v>0</v>
      </c>
      <c r="H7" s="74" t="s">
        <v>378</v>
      </c>
      <c r="I7" s="238" t="s">
        <v>379</v>
      </c>
      <c r="J7" s="238"/>
    </row>
    <row r="8" spans="1:10" ht="18" customHeight="1" x14ac:dyDescent="0.3">
      <c r="A8" s="3" t="s">
        <v>271</v>
      </c>
      <c r="B8" s="40">
        <f>Assumptions!C7</f>
        <v>4887.87</v>
      </c>
      <c r="C8" s="40">
        <f>B8*Assumptions!C11</f>
        <v>5249.5723800000005</v>
      </c>
      <c r="D8" s="63" t="s">
        <v>380</v>
      </c>
      <c r="E8" s="60">
        <v>0</v>
      </c>
      <c r="F8" s="112">
        <v>0</v>
      </c>
      <c r="G8" s="47">
        <v>0</v>
      </c>
      <c r="H8" s="63" t="s">
        <v>381</v>
      </c>
      <c r="I8" s="236" t="s">
        <v>379</v>
      </c>
      <c r="J8" s="236"/>
    </row>
    <row r="9" spans="1:10" ht="18" customHeight="1" x14ac:dyDescent="0.3">
      <c r="A9" s="3" t="s">
        <v>272</v>
      </c>
      <c r="B9" s="19">
        <f>Assumptions!C8</f>
        <v>14645.59</v>
      </c>
      <c r="C9" s="19">
        <f>B9*Assumptions!C11</f>
        <v>15729.363660000001</v>
      </c>
      <c r="D9" s="74" t="s">
        <v>382</v>
      </c>
      <c r="E9" s="113">
        <f>Assumptions!C28</f>
        <v>0.01</v>
      </c>
      <c r="F9" s="68">
        <f>Assumptions!C28</f>
        <v>0.01</v>
      </c>
      <c r="G9" s="78">
        <f>C9*E9</f>
        <v>157.29363660000001</v>
      </c>
      <c r="H9" s="74" t="s">
        <v>383</v>
      </c>
      <c r="I9" s="238" t="s">
        <v>384</v>
      </c>
      <c r="J9" s="238"/>
    </row>
    <row r="10" spans="1:10" ht="18" customHeight="1" x14ac:dyDescent="0.3">
      <c r="A10" s="3" t="s">
        <v>274</v>
      </c>
      <c r="B10" s="40">
        <f>Assumptions!C9</f>
        <v>0</v>
      </c>
      <c r="C10" s="40">
        <f>B10*Assumptions!C11</f>
        <v>0</v>
      </c>
      <c r="D10" s="63" t="s">
        <v>385</v>
      </c>
      <c r="E10" s="113">
        <f>Assumptions!C29</f>
        <v>0.03</v>
      </c>
      <c r="F10" s="66">
        <f>Assumptions!C29</f>
        <v>0.03</v>
      </c>
      <c r="G10" s="78">
        <f>C10*E10</f>
        <v>0</v>
      </c>
      <c r="H10" s="63" t="s">
        <v>386</v>
      </c>
      <c r="I10" s="236" t="s">
        <v>384</v>
      </c>
      <c r="J10" s="236"/>
    </row>
    <row r="11" spans="1:10" ht="18" customHeight="1" x14ac:dyDescent="0.3">
      <c r="A11" s="3" t="s">
        <v>276</v>
      </c>
      <c r="B11" s="19">
        <f>Assumptions!C10</f>
        <v>300561.87</v>
      </c>
      <c r="C11" s="19">
        <f>B11*Assumptions!C11</f>
        <v>322803.44838000002</v>
      </c>
      <c r="D11" s="74" t="s">
        <v>387</v>
      </c>
      <c r="E11" s="113">
        <f>Assumptions!C30</f>
        <v>2.1999999999999999E-2</v>
      </c>
      <c r="F11" s="68">
        <f>Assumptions!C30</f>
        <v>2.1999999999999999E-2</v>
      </c>
      <c r="G11" s="78">
        <f>C11*E11</f>
        <v>7101.6758643599997</v>
      </c>
      <c r="H11" s="74" t="s">
        <v>388</v>
      </c>
      <c r="I11" s="238" t="s">
        <v>389</v>
      </c>
      <c r="J11" s="238"/>
    </row>
    <row r="12" spans="1:10" ht="15" customHeight="1" x14ac:dyDescent="0.3">
      <c r="A12" s="291" t="s">
        <v>390</v>
      </c>
      <c r="B12" s="291"/>
      <c r="C12" s="291"/>
      <c r="D12" s="291"/>
      <c r="E12" s="291"/>
      <c r="F12" s="291"/>
      <c r="G12" s="114">
        <f>SUM(G7:G11)</f>
        <v>7258.96950096</v>
      </c>
      <c r="H12" s="292" t="s">
        <v>391</v>
      </c>
      <c r="I12" s="292"/>
      <c r="J12" s="292"/>
    </row>
    <row r="14" spans="1:10" ht="18" customHeight="1" x14ac:dyDescent="0.3">
      <c r="A14" s="253" t="s">
        <v>392</v>
      </c>
      <c r="B14" s="253"/>
      <c r="C14" s="253"/>
      <c r="D14" s="253"/>
      <c r="E14" s="253"/>
      <c r="F14" s="253"/>
      <c r="G14" s="253"/>
      <c r="H14" s="253"/>
      <c r="I14" s="253"/>
      <c r="J14" s="253"/>
    </row>
    <row r="15" spans="1:10" ht="13.5" customHeight="1" x14ac:dyDescent="0.3">
      <c r="A15" s="288" t="s">
        <v>393</v>
      </c>
      <c r="B15" s="288"/>
      <c r="C15" s="288"/>
      <c r="D15" s="288"/>
      <c r="E15" s="288"/>
      <c r="F15" s="288"/>
      <c r="G15" s="288"/>
      <c r="H15" s="288"/>
      <c r="I15" s="288"/>
      <c r="J15" s="288"/>
    </row>
    <row r="16" spans="1:10" ht="27.75" customHeight="1" x14ac:dyDescent="0.3">
      <c r="A16" s="23" t="s">
        <v>394</v>
      </c>
      <c r="B16" s="23" t="s">
        <v>395</v>
      </c>
      <c r="C16" s="23" t="s">
        <v>396</v>
      </c>
      <c r="D16" s="23" t="s">
        <v>397</v>
      </c>
      <c r="E16" s="23" t="s">
        <v>398</v>
      </c>
      <c r="F16" s="23" t="s">
        <v>399</v>
      </c>
      <c r="G16" s="23" t="s">
        <v>400</v>
      </c>
      <c r="H16" s="23" t="s">
        <v>401</v>
      </c>
      <c r="I16" s="23" t="s">
        <v>283</v>
      </c>
      <c r="J16" s="23" t="s">
        <v>288</v>
      </c>
    </row>
    <row r="17" spans="1:10" ht="19.5" customHeight="1" x14ac:dyDescent="0.3">
      <c r="A17" s="8" t="s">
        <v>402</v>
      </c>
      <c r="B17" s="81">
        <f>Assumptions!C18</f>
        <v>316261.82178000006</v>
      </c>
      <c r="C17" s="74" t="s">
        <v>403</v>
      </c>
      <c r="D17" s="115">
        <f>Assumptions!C31</f>
        <v>8.6999999999999994E-2</v>
      </c>
      <c r="E17" s="115">
        <f>Assumptions!C32</f>
        <v>8.3000000000000004E-2</v>
      </c>
      <c r="F17" s="115">
        <f>Assumptions!C33</f>
        <v>7.0000000000000007E-2</v>
      </c>
      <c r="G17" s="115">
        <f>Assumptions!C34</f>
        <v>0.05</v>
      </c>
      <c r="H17" s="116">
        <f>Assumptions!C31*MIN(Assumptions!C18,10240)+Assumptions!C32*MAX(0,MIN(Assumptions!C18-10240,40960))+Assumptions!C33*MAX(0,MIN(Assumptions!C18-51200,102400))+Assumptions!C34*MAX(0,Assumptions!C18-153600)</f>
        <v>19591.651089000006</v>
      </c>
      <c r="I17" s="117" t="s">
        <v>404</v>
      </c>
      <c r="J17" s="72" t="s">
        <v>405</v>
      </c>
    </row>
    <row r="18" spans="1:10" ht="19.5" customHeight="1" x14ac:dyDescent="0.3">
      <c r="A18" s="8" t="s">
        <v>406</v>
      </c>
      <c r="B18" s="86">
        <f>Assumptions!C70</f>
        <v>27520.562640000004</v>
      </c>
      <c r="C18" s="67" t="s">
        <v>407</v>
      </c>
      <c r="D18" s="115">
        <f>Assumptions!C31</f>
        <v>8.6999999999999994E-2</v>
      </c>
      <c r="E18" s="115">
        <f>Assumptions!C32</f>
        <v>8.3000000000000004E-2</v>
      </c>
      <c r="F18" s="115">
        <f>Assumptions!C33</f>
        <v>7.0000000000000007E-2</v>
      </c>
      <c r="G18" s="115">
        <f>Assumptions!C34</f>
        <v>0.05</v>
      </c>
      <c r="H18" s="116">
        <f>Assumptions!C31*MIN(Assumptions!C70,10240)+Assumptions!C32*MAX(0,MIN(Assumptions!C70-10240,40960))+Assumptions!C33*MAX(0,MIN(Assumptions!C70-51200,102400))+Assumptions!C34*MAX(0,Assumptions!C70-153600)</f>
        <v>2325.16669912</v>
      </c>
      <c r="I18" s="117" t="s">
        <v>408</v>
      </c>
      <c r="J18" s="67" t="s">
        <v>409</v>
      </c>
    </row>
    <row r="19" spans="1:10" ht="15" customHeight="1" x14ac:dyDescent="0.3">
      <c r="A19" s="289" t="s">
        <v>410</v>
      </c>
      <c r="B19" s="289"/>
      <c r="C19" s="289"/>
      <c r="D19" s="289"/>
      <c r="E19" s="289"/>
      <c r="F19" s="289"/>
      <c r="G19" s="289"/>
      <c r="H19" s="118">
        <f>SUM(H17:H18)</f>
        <v>21916.817788120006</v>
      </c>
      <c r="I19" s="290" t="s">
        <v>411</v>
      </c>
      <c r="J19" s="290"/>
    </row>
    <row r="21" spans="1:10" ht="18" customHeight="1" x14ac:dyDescent="0.3">
      <c r="A21" s="251" t="s">
        <v>412</v>
      </c>
      <c r="B21" s="251"/>
      <c r="C21" s="251"/>
      <c r="D21" s="251"/>
      <c r="E21" s="251"/>
      <c r="F21" s="251"/>
      <c r="G21" s="251"/>
      <c r="H21" s="251"/>
      <c r="I21" s="251"/>
      <c r="J21" s="251"/>
    </row>
    <row r="22" spans="1:10" ht="13.5" customHeight="1" x14ac:dyDescent="0.3">
      <c r="A22" s="284" t="s">
        <v>413</v>
      </c>
      <c r="B22" s="284"/>
      <c r="C22" s="284"/>
      <c r="D22" s="284"/>
      <c r="E22" s="284"/>
      <c r="F22" s="284"/>
      <c r="G22" s="284"/>
      <c r="H22" s="284"/>
      <c r="I22" s="284"/>
      <c r="J22" s="284"/>
    </row>
    <row r="23" spans="1:10" ht="27.75" customHeight="1" x14ac:dyDescent="0.3">
      <c r="A23" s="28" t="s">
        <v>414</v>
      </c>
      <c r="B23" s="28" t="s">
        <v>415</v>
      </c>
      <c r="C23" s="28" t="s">
        <v>416</v>
      </c>
      <c r="D23" s="28" t="s">
        <v>417</v>
      </c>
      <c r="E23" s="28" t="s">
        <v>418</v>
      </c>
      <c r="F23" s="28" t="s">
        <v>419</v>
      </c>
      <c r="G23" s="28" t="s">
        <v>283</v>
      </c>
      <c r="H23" s="28" t="s">
        <v>420</v>
      </c>
      <c r="I23" s="28" t="s">
        <v>283</v>
      </c>
      <c r="J23" s="28" t="s">
        <v>288</v>
      </c>
    </row>
    <row r="24" spans="1:10" ht="18" customHeight="1" x14ac:dyDescent="0.3">
      <c r="A24" s="7" t="s">
        <v>421</v>
      </c>
      <c r="B24" s="40">
        <f>Assumptions!C6+Assumptions!C7</f>
        <v>4887.87</v>
      </c>
      <c r="C24" s="30">
        <v>10</v>
      </c>
      <c r="D24" s="86">
        <f>(B24*1024)/C24</f>
        <v>500517.88799999998</v>
      </c>
      <c r="E24" s="63" t="s">
        <v>422</v>
      </c>
      <c r="F24" s="120">
        <f>Assumptions!C46</f>
        <v>5.0000000000000001E-3</v>
      </c>
      <c r="G24" s="66">
        <f>Assumptions!C46</f>
        <v>5.0000000000000001E-3</v>
      </c>
      <c r="H24" s="78">
        <f>(D24/1000)*F24</f>
        <v>2.5025894399999999</v>
      </c>
      <c r="I24" s="63" t="s">
        <v>423</v>
      </c>
      <c r="J24" s="67" t="s">
        <v>424</v>
      </c>
    </row>
    <row r="25" spans="1:10" ht="18" customHeight="1" x14ac:dyDescent="0.3">
      <c r="A25" s="7" t="s">
        <v>425</v>
      </c>
      <c r="B25" s="19">
        <f>Assumptions!C8</f>
        <v>14645.59</v>
      </c>
      <c r="C25" s="30">
        <v>50</v>
      </c>
      <c r="D25" s="81">
        <f>(B25*1024)/C25</f>
        <v>299941.68320000003</v>
      </c>
      <c r="E25" s="74" t="s">
        <v>426</v>
      </c>
      <c r="F25" s="121">
        <f>Assumptions!C47</f>
        <v>0.01</v>
      </c>
      <c r="G25" s="68">
        <f>Assumptions!C47</f>
        <v>0.01</v>
      </c>
      <c r="H25" s="78">
        <f>(D25/1000)*F25</f>
        <v>2.9994168320000005</v>
      </c>
      <c r="I25" s="74" t="s">
        <v>423</v>
      </c>
      <c r="J25" s="72" t="s">
        <v>427</v>
      </c>
    </row>
    <row r="26" spans="1:10" ht="18" customHeight="1" x14ac:dyDescent="0.3">
      <c r="A26" s="7" t="s">
        <v>428</v>
      </c>
      <c r="B26" s="40">
        <f>Assumptions!C9</f>
        <v>0</v>
      </c>
      <c r="C26" s="30">
        <v>200</v>
      </c>
      <c r="D26" s="86">
        <f>(B26*1024)/C26</f>
        <v>0</v>
      </c>
      <c r="E26" s="63" t="s">
        <v>429</v>
      </c>
      <c r="F26" s="120">
        <f>Assumptions!C46</f>
        <v>5.0000000000000001E-3</v>
      </c>
      <c r="G26" s="66">
        <f>Assumptions!C46</f>
        <v>5.0000000000000001E-3</v>
      </c>
      <c r="H26" s="78">
        <f>(D26/1000)*F26</f>
        <v>0</v>
      </c>
      <c r="I26" s="63" t="s">
        <v>423</v>
      </c>
      <c r="J26" s="67" t="s">
        <v>430</v>
      </c>
    </row>
    <row r="27" spans="1:10" ht="18" customHeight="1" x14ac:dyDescent="0.3">
      <c r="A27" s="7" t="s">
        <v>431</v>
      </c>
      <c r="B27" s="19">
        <f>Assumptions!C10</f>
        <v>300561.87</v>
      </c>
      <c r="C27" s="30">
        <v>500</v>
      </c>
      <c r="D27" s="81">
        <f>(B27*1024)/C27</f>
        <v>615550.70976</v>
      </c>
      <c r="E27" s="74" t="s">
        <v>432</v>
      </c>
      <c r="F27" s="121">
        <f>Assumptions!C48</f>
        <v>0.05</v>
      </c>
      <c r="G27" s="68">
        <f>Assumptions!C48</f>
        <v>0.05</v>
      </c>
      <c r="H27" s="78">
        <f>(D27/1000)*F27</f>
        <v>30.777535488000002</v>
      </c>
      <c r="I27" s="74" t="s">
        <v>423</v>
      </c>
      <c r="J27" s="72" t="s">
        <v>433</v>
      </c>
    </row>
    <row r="28" spans="1:10" ht="15" customHeight="1" x14ac:dyDescent="0.3">
      <c r="A28" s="273" t="s">
        <v>434</v>
      </c>
      <c r="B28" s="273"/>
      <c r="C28" s="273"/>
      <c r="D28" s="273"/>
      <c r="E28" s="273"/>
      <c r="F28" s="273"/>
      <c r="G28" s="273"/>
      <c r="H28" s="92">
        <f>SUM(H24:H27)</f>
        <v>36.279541760000001</v>
      </c>
      <c r="I28" s="285" t="s">
        <v>435</v>
      </c>
      <c r="J28" s="285"/>
    </row>
    <row r="30" spans="1:10" ht="18" customHeight="1" x14ac:dyDescent="0.3">
      <c r="A30" s="286" t="s">
        <v>436</v>
      </c>
      <c r="B30" s="286"/>
      <c r="C30" s="286"/>
      <c r="D30" s="286"/>
      <c r="E30" s="286"/>
      <c r="F30" s="286"/>
      <c r="G30" s="286"/>
      <c r="H30" s="286"/>
      <c r="I30" s="286"/>
      <c r="J30" s="286"/>
    </row>
    <row r="31" spans="1:10" ht="13.5" customHeight="1" x14ac:dyDescent="0.3">
      <c r="A31" s="287" t="s">
        <v>437</v>
      </c>
      <c r="B31" s="287"/>
      <c r="C31" s="287"/>
      <c r="D31" s="287"/>
      <c r="E31" s="287"/>
      <c r="F31" s="287"/>
      <c r="G31" s="287"/>
      <c r="H31" s="287"/>
      <c r="I31" s="287"/>
      <c r="J31" s="287"/>
    </row>
    <row r="32" spans="1:10" ht="27.75" customHeight="1" x14ac:dyDescent="0.3">
      <c r="A32" s="41" t="s">
        <v>438</v>
      </c>
      <c r="B32" s="41" t="s">
        <v>439</v>
      </c>
      <c r="C32" s="41" t="s">
        <v>417</v>
      </c>
      <c r="D32" s="41" t="s">
        <v>283</v>
      </c>
      <c r="E32" s="41" t="s">
        <v>440</v>
      </c>
      <c r="F32" s="41" t="s">
        <v>283</v>
      </c>
      <c r="G32" s="41" t="s">
        <v>441</v>
      </c>
      <c r="H32" s="41" t="s">
        <v>283</v>
      </c>
      <c r="I32" s="41" t="s">
        <v>442</v>
      </c>
      <c r="J32" s="41"/>
    </row>
    <row r="33" spans="1:10" ht="19.5" customHeight="1" x14ac:dyDescent="0.3">
      <c r="A33" s="7" t="s">
        <v>443</v>
      </c>
      <c r="B33" s="22" t="s">
        <v>444</v>
      </c>
      <c r="C33" s="122">
        <f>D24+D25+D26+D27</f>
        <v>1416010.2809600001</v>
      </c>
      <c r="D33" s="77" t="s">
        <v>445</v>
      </c>
      <c r="E33" s="123">
        <v>0</v>
      </c>
      <c r="F33" s="124">
        <v>0</v>
      </c>
      <c r="G33" s="47">
        <v>0</v>
      </c>
      <c r="H33" s="77" t="s">
        <v>446</v>
      </c>
      <c r="I33" s="278" t="s">
        <v>447</v>
      </c>
      <c r="J33" s="278"/>
    </row>
    <row r="34" spans="1:10" ht="19.5" customHeight="1" x14ac:dyDescent="0.3">
      <c r="A34" s="8" t="s">
        <v>448</v>
      </c>
      <c r="B34" s="26" t="s">
        <v>449</v>
      </c>
      <c r="C34" s="126">
        <f>D25</f>
        <v>299941.68320000003</v>
      </c>
      <c r="D34" s="76" t="s">
        <v>450</v>
      </c>
      <c r="E34" s="127">
        <f>Assumptions!C47</f>
        <v>0.01</v>
      </c>
      <c r="F34" s="128">
        <f>Assumptions!C47</f>
        <v>0.01</v>
      </c>
      <c r="G34" s="78">
        <f>(C34/1000)*E34</f>
        <v>2.9994168320000005</v>
      </c>
      <c r="H34" s="76" t="s">
        <v>451</v>
      </c>
      <c r="I34" s="283" t="s">
        <v>452</v>
      </c>
      <c r="J34" s="283"/>
    </row>
    <row r="35" spans="1:10" ht="19.5" customHeight="1" x14ac:dyDescent="0.3">
      <c r="A35" s="8" t="s">
        <v>453</v>
      </c>
      <c r="B35" s="26" t="s">
        <v>454</v>
      </c>
      <c r="C35" s="126">
        <f>D27</f>
        <v>615550.70976</v>
      </c>
      <c r="D35" s="76" t="s">
        <v>455</v>
      </c>
      <c r="E35" s="127">
        <f>Assumptions!C48</f>
        <v>0.05</v>
      </c>
      <c r="F35" s="128">
        <f>Assumptions!C48</f>
        <v>0.05</v>
      </c>
      <c r="G35" s="78">
        <f>(C35/1000)*E35</f>
        <v>30.777535488000002</v>
      </c>
      <c r="H35" s="76" t="s">
        <v>451</v>
      </c>
      <c r="I35" s="283" t="s">
        <v>456</v>
      </c>
      <c r="J35" s="283"/>
    </row>
    <row r="38" spans="1:10" ht="18" customHeight="1" x14ac:dyDescent="0.3">
      <c r="A38" s="256" t="s">
        <v>457</v>
      </c>
      <c r="B38" s="256"/>
      <c r="C38" s="256"/>
      <c r="D38" s="256"/>
      <c r="E38" s="256"/>
      <c r="F38" s="256"/>
      <c r="G38" s="256"/>
      <c r="H38" s="256"/>
      <c r="I38" s="256"/>
      <c r="J38" s="256"/>
    </row>
    <row r="39" spans="1:10" ht="27.75" customHeight="1" x14ac:dyDescent="0.3">
      <c r="A39" s="12" t="s">
        <v>458</v>
      </c>
      <c r="B39" s="12" t="s">
        <v>325</v>
      </c>
      <c r="C39" s="12" t="s">
        <v>459</v>
      </c>
      <c r="D39" s="12" t="s">
        <v>460</v>
      </c>
      <c r="E39" s="12" t="s">
        <v>283</v>
      </c>
      <c r="F39" s="12" t="s">
        <v>461</v>
      </c>
      <c r="G39" s="12" t="s">
        <v>283</v>
      </c>
      <c r="H39" s="12" t="s">
        <v>288</v>
      </c>
      <c r="I39" s="12"/>
      <c r="J39" s="12"/>
    </row>
    <row r="40" spans="1:10" ht="18" customHeight="1" x14ac:dyDescent="0.3">
      <c r="A40" s="3" t="s">
        <v>462</v>
      </c>
      <c r="B40" s="40">
        <f>320095.33*Assumptions!C11</f>
        <v>343782.38442000002</v>
      </c>
      <c r="C40" s="129" t="s">
        <v>463</v>
      </c>
      <c r="D40" s="87">
        <f>Assumptions!C63</f>
        <v>1.2500000000000001E-2</v>
      </c>
      <c r="E40" s="63" t="s">
        <v>464</v>
      </c>
      <c r="F40" s="78">
        <f t="shared" ref="F40:F45" si="0">B40*D40</f>
        <v>4297.2798052500002</v>
      </c>
      <c r="G40" s="63" t="s">
        <v>465</v>
      </c>
      <c r="H40" s="236" t="s">
        <v>466</v>
      </c>
      <c r="I40" s="236"/>
      <c r="J40" s="236"/>
    </row>
    <row r="41" spans="1:10" ht="18" customHeight="1" x14ac:dyDescent="0.3">
      <c r="A41" s="3" t="s">
        <v>467</v>
      </c>
      <c r="B41" s="19">
        <f>Assumptions!C54</f>
        <v>3</v>
      </c>
      <c r="C41" s="74" t="s">
        <v>468</v>
      </c>
      <c r="D41" s="46">
        <v>500</v>
      </c>
      <c r="E41" s="74" t="s">
        <v>469</v>
      </c>
      <c r="F41" s="78">
        <f t="shared" si="0"/>
        <v>1500</v>
      </c>
      <c r="G41" s="74" t="s">
        <v>465</v>
      </c>
      <c r="H41" s="238" t="s">
        <v>470</v>
      </c>
      <c r="I41" s="238"/>
      <c r="J41" s="238"/>
    </row>
    <row r="42" spans="1:10" ht="18" customHeight="1" x14ac:dyDescent="0.3">
      <c r="A42" s="3" t="s">
        <v>471</v>
      </c>
      <c r="B42" s="130">
        <v>1</v>
      </c>
      <c r="C42" s="63" t="s">
        <v>472</v>
      </c>
      <c r="D42" s="46">
        <v>500</v>
      </c>
      <c r="E42" s="63" t="s">
        <v>473</v>
      </c>
      <c r="F42" s="78">
        <f t="shared" si="0"/>
        <v>500</v>
      </c>
      <c r="G42" s="63" t="s">
        <v>465</v>
      </c>
      <c r="H42" s="236" t="s">
        <v>474</v>
      </c>
      <c r="I42" s="236"/>
      <c r="J42" s="236"/>
    </row>
    <row r="43" spans="1:10" ht="18" customHeight="1" x14ac:dyDescent="0.3">
      <c r="A43" s="3" t="s">
        <v>475</v>
      </c>
      <c r="B43" s="131">
        <v>1</v>
      </c>
      <c r="C43" s="74" t="s">
        <v>472</v>
      </c>
      <c r="D43" s="46">
        <v>500</v>
      </c>
      <c r="E43" s="74" t="s">
        <v>476</v>
      </c>
      <c r="F43" s="78">
        <f t="shared" si="0"/>
        <v>500</v>
      </c>
      <c r="G43" s="74" t="s">
        <v>465</v>
      </c>
      <c r="H43" s="238" t="s">
        <v>477</v>
      </c>
      <c r="I43" s="238"/>
      <c r="J43" s="238"/>
    </row>
    <row r="44" spans="1:10" ht="18" customHeight="1" x14ac:dyDescent="0.3">
      <c r="A44" s="3" t="s">
        <v>478</v>
      </c>
      <c r="B44" s="130">
        <v>1</v>
      </c>
      <c r="C44" s="63" t="s">
        <v>472</v>
      </c>
      <c r="D44" s="46">
        <v>3000</v>
      </c>
      <c r="E44" s="63" t="s">
        <v>479</v>
      </c>
      <c r="F44" s="78">
        <f t="shared" si="0"/>
        <v>3000</v>
      </c>
      <c r="G44" s="63" t="s">
        <v>465</v>
      </c>
      <c r="H44" s="236" t="s">
        <v>480</v>
      </c>
      <c r="I44" s="236"/>
      <c r="J44" s="236"/>
    </row>
    <row r="45" spans="1:10" ht="18" customHeight="1" x14ac:dyDescent="0.3">
      <c r="A45" s="3" t="s">
        <v>481</v>
      </c>
      <c r="B45" s="131">
        <v>1</v>
      </c>
      <c r="C45" s="74" t="s">
        <v>472</v>
      </c>
      <c r="D45" s="46">
        <v>2000</v>
      </c>
      <c r="E45" s="74" t="s">
        <v>482</v>
      </c>
      <c r="F45" s="78">
        <f t="shared" si="0"/>
        <v>2000</v>
      </c>
      <c r="G45" s="74" t="s">
        <v>465</v>
      </c>
      <c r="H45" s="238" t="s">
        <v>483</v>
      </c>
      <c r="I45" s="238"/>
      <c r="J45" s="238"/>
    </row>
    <row r="46" spans="1:10" ht="15" customHeight="1" x14ac:dyDescent="0.3">
      <c r="A46" s="241" t="s">
        <v>484</v>
      </c>
      <c r="B46" s="241"/>
      <c r="C46" s="241"/>
      <c r="D46" s="241"/>
      <c r="E46" s="241"/>
      <c r="F46" s="132">
        <f>SUM(F40:F45)</f>
        <v>11797.27980525</v>
      </c>
      <c r="G46" s="282" t="s">
        <v>485</v>
      </c>
      <c r="H46" s="282"/>
      <c r="I46" s="282"/>
      <c r="J46" s="282"/>
    </row>
    <row r="48" spans="1:10" ht="18" customHeight="1" x14ac:dyDescent="0.3">
      <c r="A48" s="245" t="s">
        <v>486</v>
      </c>
      <c r="B48" s="245"/>
      <c r="C48" s="245"/>
      <c r="D48" s="245"/>
      <c r="E48" s="245"/>
      <c r="F48" s="245"/>
      <c r="G48" s="245"/>
      <c r="H48" s="245"/>
      <c r="I48" s="245"/>
      <c r="J48" s="245"/>
    </row>
    <row r="49" spans="1:10" ht="27.75" customHeight="1" x14ac:dyDescent="0.3">
      <c r="A49" s="1" t="s">
        <v>350</v>
      </c>
      <c r="B49" s="1" t="s">
        <v>487</v>
      </c>
      <c r="C49" s="1" t="s">
        <v>283</v>
      </c>
      <c r="D49" s="1" t="s">
        <v>267</v>
      </c>
      <c r="E49" s="1" t="s">
        <v>283</v>
      </c>
      <c r="F49" s="1" t="s">
        <v>288</v>
      </c>
      <c r="G49" s="1"/>
      <c r="H49" s="1"/>
      <c r="I49" s="1"/>
      <c r="J49" s="1"/>
    </row>
    <row r="50" spans="1:10" ht="18" customHeight="1" x14ac:dyDescent="0.3">
      <c r="A50" s="3" t="s">
        <v>488</v>
      </c>
      <c r="B50" s="78">
        <f>G12</f>
        <v>7258.96950096</v>
      </c>
      <c r="C50" s="63" t="s">
        <v>489</v>
      </c>
      <c r="D50" s="65">
        <f>B50/SUM(B50:B55)</f>
        <v>0.1609160770409214</v>
      </c>
      <c r="E50" s="63" t="s">
        <v>490</v>
      </c>
      <c r="F50" s="279"/>
      <c r="G50" s="279"/>
      <c r="H50" s="279"/>
      <c r="I50" s="279"/>
      <c r="J50" s="279"/>
    </row>
    <row r="51" spans="1:10" ht="18" customHeight="1" x14ac:dyDescent="0.3">
      <c r="A51" s="3" t="s">
        <v>491</v>
      </c>
      <c r="B51" s="78">
        <f>H19</f>
        <v>21916.817788120006</v>
      </c>
      <c r="C51" s="74" t="s">
        <v>492</v>
      </c>
      <c r="D51" s="71">
        <f>B51/SUM(B50:B55)</f>
        <v>0.48584972553177685</v>
      </c>
      <c r="E51" s="74" t="s">
        <v>493</v>
      </c>
      <c r="F51" s="277"/>
      <c r="G51" s="277"/>
      <c r="H51" s="277"/>
      <c r="I51" s="277"/>
      <c r="J51" s="277"/>
    </row>
    <row r="52" spans="1:10" ht="18" customHeight="1" x14ac:dyDescent="0.3">
      <c r="A52" s="3" t="s">
        <v>494</v>
      </c>
      <c r="B52" s="78">
        <f>H28</f>
        <v>36.279541760000001</v>
      </c>
      <c r="C52" s="63" t="s">
        <v>495</v>
      </c>
      <c r="D52" s="65">
        <f>B52/SUM(B50:B55)</f>
        <v>8.0424108905395087E-4</v>
      </c>
      <c r="E52" s="63" t="s">
        <v>496</v>
      </c>
      <c r="F52" s="279"/>
      <c r="G52" s="279"/>
      <c r="H52" s="279"/>
      <c r="I52" s="279"/>
      <c r="J52" s="279"/>
    </row>
    <row r="53" spans="1:10" ht="18" customHeight="1" x14ac:dyDescent="0.3">
      <c r="A53" s="3" t="s">
        <v>497</v>
      </c>
      <c r="B53" s="78">
        <f>G33</f>
        <v>0</v>
      </c>
      <c r="C53" s="74" t="s">
        <v>498</v>
      </c>
      <c r="D53" s="71">
        <f>B53/SUM(B50:B55)</f>
        <v>0</v>
      </c>
      <c r="E53" s="74" t="s">
        <v>499</v>
      </c>
      <c r="F53" s="277"/>
      <c r="G53" s="277"/>
      <c r="H53" s="277"/>
      <c r="I53" s="277"/>
      <c r="J53" s="277"/>
    </row>
    <row r="54" spans="1:10" ht="18" customHeight="1" x14ac:dyDescent="0.3">
      <c r="A54" s="3" t="s">
        <v>500</v>
      </c>
      <c r="B54" s="78">
        <f>F46</f>
        <v>11797.27980525</v>
      </c>
      <c r="C54" s="63" t="s">
        <v>501</v>
      </c>
      <c r="D54" s="65">
        <f>B54/SUM(B50:B55)</f>
        <v>0.26152086542915698</v>
      </c>
      <c r="E54" s="63" t="s">
        <v>502</v>
      </c>
      <c r="F54" s="279"/>
      <c r="G54" s="279"/>
      <c r="H54" s="279"/>
      <c r="I54" s="279"/>
      <c r="J54" s="279"/>
    </row>
    <row r="55" spans="1:10" ht="18" customHeight="1" x14ac:dyDescent="0.3">
      <c r="A55" s="3" t="s">
        <v>503</v>
      </c>
      <c r="B55" s="78">
        <f>SUM(B50:B54)*0.1</f>
        <v>4100.9346636090004</v>
      </c>
      <c r="C55" s="74" t="s">
        <v>504</v>
      </c>
      <c r="D55" s="71">
        <f>B55/SUM(B50:B55)</f>
        <v>9.0909090909090912E-2</v>
      </c>
      <c r="E55" s="74" t="s">
        <v>505</v>
      </c>
      <c r="F55" s="277"/>
      <c r="G55" s="277"/>
      <c r="H55" s="277"/>
      <c r="I55" s="277"/>
      <c r="J55" s="277"/>
    </row>
    <row r="56" spans="1:10" ht="27.75" customHeight="1" x14ac:dyDescent="0.3">
      <c r="A56" s="280" t="s">
        <v>506</v>
      </c>
      <c r="B56" s="280"/>
      <c r="C56" s="133">
        <f>SUM(B50:B55)</f>
        <v>45110.281299699003</v>
      </c>
      <c r="D56" s="281" t="s">
        <v>507</v>
      </c>
      <c r="E56" s="281"/>
      <c r="F56" s="281"/>
      <c r="G56" s="281"/>
      <c r="H56" s="281"/>
      <c r="I56" s="281"/>
      <c r="J56" s="281"/>
    </row>
    <row r="58" spans="1:10" ht="18" customHeight="1" x14ac:dyDescent="0.3">
      <c r="A58" s="251" t="s">
        <v>508</v>
      </c>
      <c r="B58" s="251"/>
      <c r="C58" s="251"/>
      <c r="D58" s="251"/>
      <c r="E58" s="251"/>
      <c r="F58" s="251"/>
      <c r="G58" s="251"/>
      <c r="H58" s="251"/>
      <c r="I58" s="251"/>
      <c r="J58" s="251"/>
    </row>
    <row r="59" spans="1:10" ht="24" customHeight="1" x14ac:dyDescent="0.3">
      <c r="A59" s="28" t="s">
        <v>509</v>
      </c>
      <c r="B59" s="28" t="s">
        <v>46</v>
      </c>
      <c r="C59" s="28" t="s">
        <v>283</v>
      </c>
      <c r="D59" s="28" t="s">
        <v>288</v>
      </c>
      <c r="E59" s="28"/>
      <c r="F59" s="28"/>
      <c r="G59" s="28"/>
      <c r="H59" s="28"/>
      <c r="I59" s="28"/>
      <c r="J59" s="28"/>
    </row>
    <row r="60" spans="1:10" ht="18" customHeight="1" x14ac:dyDescent="0.3">
      <c r="A60" s="7" t="s">
        <v>510</v>
      </c>
      <c r="B60" s="47">
        <f>SUM(B50:B55)</f>
        <v>45110.281299699003</v>
      </c>
      <c r="C60" s="124">
        <f>SUM(B50:B55)</f>
        <v>45110.281299699003</v>
      </c>
      <c r="D60" s="274"/>
      <c r="E60" s="274"/>
      <c r="F60" s="274"/>
      <c r="G60" s="274"/>
      <c r="H60" s="274"/>
      <c r="I60" s="274"/>
      <c r="J60" s="274"/>
    </row>
    <row r="61" spans="1:10" ht="18" customHeight="1" x14ac:dyDescent="0.3">
      <c r="A61" s="7" t="s">
        <v>511</v>
      </c>
      <c r="B61" s="135">
        <f>Assumptions!C65+Assumptions!C66+Assumptions!C67-'Cost Comparison'!B39</f>
        <v>36232.016231266898</v>
      </c>
      <c r="C61" s="136" t="s">
        <v>512</v>
      </c>
      <c r="D61" s="277"/>
      <c r="E61" s="277"/>
      <c r="F61" s="277"/>
      <c r="G61" s="277"/>
      <c r="H61" s="277"/>
      <c r="I61" s="277"/>
      <c r="J61" s="277"/>
    </row>
    <row r="62" spans="1:10" ht="18" customHeight="1" x14ac:dyDescent="0.3">
      <c r="A62" s="7" t="s">
        <v>513</v>
      </c>
      <c r="B62" s="137">
        <f>(B60+SUM('Financial Model (Jun26-Dec30)'!D18:D23)+SUM('Financial Model (Jun26-Dec30)'!F30:F35))/B61</f>
        <v>3.9555014102699237</v>
      </c>
      <c r="C62" s="125" t="s">
        <v>514</v>
      </c>
      <c r="D62" s="278" t="s">
        <v>515</v>
      </c>
      <c r="E62" s="278"/>
      <c r="F62" s="278"/>
      <c r="G62" s="278"/>
      <c r="H62" s="278"/>
      <c r="I62" s="278"/>
      <c r="J62" s="278"/>
    </row>
    <row r="63" spans="1:10" ht="18" customHeight="1" x14ac:dyDescent="0.3">
      <c r="A63" s="7" t="s">
        <v>516</v>
      </c>
      <c r="B63" s="47">
        <f>B61*6-B60</f>
        <v>172281.81608790238</v>
      </c>
      <c r="C63" s="72" t="s">
        <v>517</v>
      </c>
      <c r="D63" s="277"/>
      <c r="E63" s="277"/>
      <c r="F63" s="277"/>
      <c r="G63" s="277"/>
      <c r="H63" s="277"/>
      <c r="I63" s="277"/>
      <c r="J63" s="277"/>
    </row>
    <row r="64" spans="1:10" ht="18" customHeight="1" x14ac:dyDescent="0.3">
      <c r="A64" s="7" t="s">
        <v>518</v>
      </c>
      <c r="B64" s="135">
        <f>B61*42-B60-SUM('Financial Model (Jun26-Dec30)'!F30:F35)</f>
        <v>1389791.4004135106</v>
      </c>
      <c r="C64" s="125" t="s">
        <v>519</v>
      </c>
      <c r="D64" s="274"/>
      <c r="E64" s="274"/>
      <c r="F64" s="274"/>
      <c r="G64" s="274"/>
      <c r="H64" s="274"/>
      <c r="I64" s="274"/>
      <c r="J64" s="274"/>
    </row>
    <row r="67" spans="1:9" ht="21.75" customHeight="1" x14ac:dyDescent="0.3">
      <c r="A67" s="275" t="s">
        <v>520</v>
      </c>
      <c r="B67" s="275"/>
      <c r="C67" s="275"/>
      <c r="D67" s="275"/>
      <c r="E67" s="275"/>
      <c r="F67" s="275"/>
      <c r="G67" s="275"/>
      <c r="H67" s="275"/>
      <c r="I67" s="275"/>
    </row>
    <row r="68" spans="1:9" ht="36" customHeight="1" x14ac:dyDescent="0.3">
      <c r="A68" s="138" t="s">
        <v>521</v>
      </c>
      <c r="B68" s="138" t="s">
        <v>415</v>
      </c>
      <c r="C68" s="138" t="s">
        <v>522</v>
      </c>
      <c r="D68" s="138" t="s">
        <v>523</v>
      </c>
      <c r="E68" s="138" t="s">
        <v>524</v>
      </c>
      <c r="F68" s="138" t="s">
        <v>525</v>
      </c>
      <c r="G68" s="138" t="s">
        <v>526</v>
      </c>
      <c r="H68" s="138" t="s">
        <v>527</v>
      </c>
      <c r="I68" s="138" t="s">
        <v>528</v>
      </c>
    </row>
    <row r="69" spans="1:9" ht="15" customHeight="1" x14ac:dyDescent="0.3">
      <c r="A69" s="31" t="s">
        <v>529</v>
      </c>
      <c r="B69" s="139">
        <v>325872.3</v>
      </c>
      <c r="C69" s="140">
        <v>7142.11</v>
      </c>
      <c r="D69" s="140">
        <v>21277.9</v>
      </c>
      <c r="E69" s="140">
        <v>4374.84</v>
      </c>
      <c r="F69" s="140">
        <v>32794.85</v>
      </c>
      <c r="G69" s="140">
        <v>3279.4850000000001</v>
      </c>
      <c r="H69" s="141">
        <v>36074.334999999999</v>
      </c>
      <c r="I69" s="142" t="s">
        <v>530</v>
      </c>
    </row>
    <row r="70" spans="1:9" ht="15" customHeight="1" x14ac:dyDescent="0.3">
      <c r="A70" s="31" t="s">
        <v>531</v>
      </c>
      <c r="B70" s="143">
        <v>286607</v>
      </c>
      <c r="C70" s="82">
        <v>6292.79</v>
      </c>
      <c r="D70" s="82">
        <v>19169.349999999999</v>
      </c>
      <c r="E70" s="82">
        <v>3847.7</v>
      </c>
      <c r="F70" s="82">
        <v>29309.84</v>
      </c>
      <c r="G70" s="82">
        <v>2930.9839999999999</v>
      </c>
      <c r="H70" s="141">
        <v>32240.824000000001</v>
      </c>
      <c r="I70" s="144" t="s">
        <v>532</v>
      </c>
    </row>
    <row r="71" spans="1:9" ht="15" customHeight="1" x14ac:dyDescent="0.3">
      <c r="A71" s="31" t="s">
        <v>533</v>
      </c>
      <c r="B71" s="139">
        <v>34060.1</v>
      </c>
      <c r="C71" s="140">
        <v>748.92</v>
      </c>
      <c r="D71" s="140">
        <v>3077.14</v>
      </c>
      <c r="E71" s="140">
        <v>457.26</v>
      </c>
      <c r="F71" s="140">
        <v>4283.32</v>
      </c>
      <c r="G71" s="140">
        <v>428.33199999999999</v>
      </c>
      <c r="H71" s="141">
        <v>4711.652</v>
      </c>
      <c r="I71" s="142" t="s">
        <v>534</v>
      </c>
    </row>
    <row r="72" spans="1:9" ht="15" customHeight="1" x14ac:dyDescent="0.3">
      <c r="A72" s="31" t="s">
        <v>535</v>
      </c>
      <c r="B72" s="143">
        <v>48444.2</v>
      </c>
      <c r="C72" s="82">
        <v>965.67</v>
      </c>
      <c r="D72" s="82">
        <v>4348.59</v>
      </c>
      <c r="E72" s="82">
        <v>650.36</v>
      </c>
      <c r="F72" s="82">
        <v>5964.62</v>
      </c>
      <c r="G72" s="82">
        <v>596.46199999999999</v>
      </c>
      <c r="H72" s="141">
        <v>6561.0820000000003</v>
      </c>
      <c r="I72" s="144" t="s">
        <v>534</v>
      </c>
    </row>
    <row r="73" spans="1:9" ht="15" customHeight="1" x14ac:dyDescent="0.3">
      <c r="A73" s="31" t="s">
        <v>536</v>
      </c>
      <c r="B73" s="139">
        <v>30378.2</v>
      </c>
      <c r="C73" s="140">
        <v>455.64</v>
      </c>
      <c r="D73" s="140">
        <v>2748.92</v>
      </c>
      <c r="E73" s="140">
        <v>407.83</v>
      </c>
      <c r="F73" s="140">
        <v>3612.39</v>
      </c>
      <c r="G73" s="140">
        <v>361.23899999999998</v>
      </c>
      <c r="H73" s="141">
        <v>3973.6289999999999</v>
      </c>
      <c r="I73" s="142" t="s">
        <v>537</v>
      </c>
    </row>
    <row r="74" spans="1:9" ht="15" customHeight="1" x14ac:dyDescent="0.3">
      <c r="A74" s="31" t="s">
        <v>538</v>
      </c>
      <c r="B74" s="143">
        <v>17264.099999999999</v>
      </c>
      <c r="C74" s="82">
        <v>190.17</v>
      </c>
      <c r="D74" s="82">
        <v>1579.91</v>
      </c>
      <c r="E74" s="82">
        <v>231.77</v>
      </c>
      <c r="F74" s="82">
        <v>2001.85</v>
      </c>
      <c r="G74" s="82">
        <v>200.185</v>
      </c>
      <c r="H74" s="141">
        <v>2202.0349999999999</v>
      </c>
      <c r="I74" s="144" t="s">
        <v>537</v>
      </c>
    </row>
    <row r="75" spans="1:9" ht="15" customHeight="1" x14ac:dyDescent="0.3">
      <c r="A75" s="31" t="s">
        <v>539</v>
      </c>
      <c r="B75" s="139">
        <v>3949.5</v>
      </c>
      <c r="C75" s="140">
        <v>43.39</v>
      </c>
      <c r="D75" s="140">
        <v>369.03</v>
      </c>
      <c r="E75" s="140">
        <v>53.02</v>
      </c>
      <c r="F75" s="140">
        <v>465.44</v>
      </c>
      <c r="G75" s="140">
        <v>46.543999999999997</v>
      </c>
      <c r="H75" s="141">
        <v>511.98399999999998</v>
      </c>
      <c r="I75" s="142" t="s">
        <v>540</v>
      </c>
    </row>
    <row r="76" spans="1:9" ht="15" customHeight="1" x14ac:dyDescent="0.3">
      <c r="A76" s="31" t="s">
        <v>541</v>
      </c>
      <c r="B76" s="143">
        <v>33.9</v>
      </c>
      <c r="C76" s="82">
        <v>0.37</v>
      </c>
      <c r="D76" s="82">
        <v>3.15</v>
      </c>
      <c r="E76" s="82">
        <v>0.45</v>
      </c>
      <c r="F76" s="82">
        <v>3.97</v>
      </c>
      <c r="G76" s="82">
        <v>0.39700000000000002</v>
      </c>
      <c r="H76" s="141">
        <v>4.367</v>
      </c>
      <c r="I76" s="144" t="s">
        <v>540</v>
      </c>
    </row>
    <row r="77" spans="1:9" ht="21.75" customHeight="1" x14ac:dyDescent="0.3">
      <c r="A77" s="145" t="s">
        <v>542</v>
      </c>
      <c r="B77" s="138"/>
      <c r="C77" s="146">
        <f t="shared" ref="C77:H77" si="1">SUM(C69:C76)</f>
        <v>15839.06</v>
      </c>
      <c r="D77" s="146">
        <f t="shared" si="1"/>
        <v>52573.99</v>
      </c>
      <c r="E77" s="146">
        <f t="shared" si="1"/>
        <v>10023.230000000003</v>
      </c>
      <c r="F77" s="146">
        <f t="shared" si="1"/>
        <v>78436.280000000013</v>
      </c>
      <c r="G77" s="146">
        <f t="shared" si="1"/>
        <v>7843.6280000000006</v>
      </c>
      <c r="H77" s="147">
        <f t="shared" si="1"/>
        <v>86279.907999999996</v>
      </c>
      <c r="I77" s="138"/>
    </row>
    <row r="78" spans="1:9" ht="27.75" customHeight="1" x14ac:dyDescent="0.3">
      <c r="A78" s="276" t="s">
        <v>543</v>
      </c>
      <c r="B78" s="276"/>
      <c r="C78" s="276"/>
      <c r="D78" s="276"/>
      <c r="E78" s="276"/>
      <c r="F78" s="276"/>
      <c r="G78" s="276"/>
      <c r="H78" s="276"/>
      <c r="I78" s="276"/>
    </row>
  </sheetData>
  <mergeCells count="50">
    <mergeCell ref="A1:J1"/>
    <mergeCell ref="A2:J2"/>
    <mergeCell ref="A4:J4"/>
    <mergeCell ref="A5:J5"/>
    <mergeCell ref="I7:J7"/>
    <mergeCell ref="I8:J8"/>
    <mergeCell ref="I9:J9"/>
    <mergeCell ref="I10:J10"/>
    <mergeCell ref="I11:J11"/>
    <mergeCell ref="A12:F12"/>
    <mergeCell ref="H12:J12"/>
    <mergeCell ref="A14:J14"/>
    <mergeCell ref="A15:J15"/>
    <mergeCell ref="A19:G19"/>
    <mergeCell ref="I19:J19"/>
    <mergeCell ref="A21:J21"/>
    <mergeCell ref="A22:J22"/>
    <mergeCell ref="A28:G28"/>
    <mergeCell ref="I28:J28"/>
    <mergeCell ref="A30:J30"/>
    <mergeCell ref="A31:J31"/>
    <mergeCell ref="I33:J33"/>
    <mergeCell ref="I34:J34"/>
    <mergeCell ref="I35:J35"/>
    <mergeCell ref="A38:J38"/>
    <mergeCell ref="H40:J40"/>
    <mergeCell ref="H41:J41"/>
    <mergeCell ref="H42:J42"/>
    <mergeCell ref="H43:J43"/>
    <mergeCell ref="H44:J44"/>
    <mergeCell ref="H45:J45"/>
    <mergeCell ref="A46:E46"/>
    <mergeCell ref="G46:J46"/>
    <mergeCell ref="A48:J48"/>
    <mergeCell ref="F50:J50"/>
    <mergeCell ref="F51:J51"/>
    <mergeCell ref="F52:J52"/>
    <mergeCell ref="F53:J53"/>
    <mergeCell ref="F54:J54"/>
    <mergeCell ref="F55:J55"/>
    <mergeCell ref="A56:B56"/>
    <mergeCell ref="D56:J56"/>
    <mergeCell ref="D64:J64"/>
    <mergeCell ref="A67:I67"/>
    <mergeCell ref="A78:I78"/>
    <mergeCell ref="A58:J58"/>
    <mergeCell ref="D60:J60"/>
    <mergeCell ref="D61:J61"/>
    <mergeCell ref="D62:J62"/>
    <mergeCell ref="D63:J6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showGridLines="0" topLeftCell="A33" zoomScaleNormal="100" workbookViewId="0">
      <selection sqref="A1:H1"/>
    </sheetView>
  </sheetViews>
  <sheetFormatPr defaultColWidth="8.6640625" defaultRowHeight="14.4" x14ac:dyDescent="0.3"/>
  <cols>
    <col min="1" max="1" width="6" customWidth="1"/>
    <col min="2" max="2" width="46" customWidth="1"/>
    <col min="3" max="5" width="12" customWidth="1"/>
    <col min="6" max="6" width="40" customWidth="1"/>
    <col min="7" max="7" width="14" customWidth="1"/>
    <col min="8" max="8" width="20" customWidth="1"/>
  </cols>
  <sheetData>
    <row r="1" spans="1:8" ht="27.75" customHeight="1" x14ac:dyDescent="0.3">
      <c r="A1" s="254" t="s">
        <v>544</v>
      </c>
      <c r="B1" s="254"/>
      <c r="C1" s="254"/>
      <c r="D1" s="254"/>
      <c r="E1" s="254"/>
      <c r="F1" s="254"/>
      <c r="G1" s="254"/>
      <c r="H1" s="254"/>
    </row>
    <row r="2" spans="1:8" ht="12.75" customHeight="1" x14ac:dyDescent="0.3">
      <c r="A2" s="255" t="s">
        <v>545</v>
      </c>
      <c r="B2" s="255"/>
      <c r="C2" s="255"/>
      <c r="D2" s="255"/>
      <c r="E2" s="255"/>
      <c r="F2" s="255"/>
      <c r="G2" s="255"/>
      <c r="H2" s="255"/>
    </row>
    <row r="4" spans="1:8" ht="18" customHeight="1" x14ac:dyDescent="0.3">
      <c r="A4" s="256" t="s">
        <v>546</v>
      </c>
      <c r="B4" s="256"/>
      <c r="C4" s="256"/>
      <c r="D4" s="256"/>
      <c r="E4" s="256"/>
      <c r="F4" s="256"/>
      <c r="G4" s="256"/>
      <c r="H4" s="256"/>
    </row>
    <row r="5" spans="1:8" ht="27.75" customHeight="1" x14ac:dyDescent="0.3">
      <c r="A5" s="12" t="s">
        <v>3</v>
      </c>
      <c r="B5" s="12" t="s">
        <v>547</v>
      </c>
      <c r="C5" s="12" t="s">
        <v>4</v>
      </c>
      <c r="D5" s="12" t="s">
        <v>548</v>
      </c>
      <c r="E5" s="12" t="s">
        <v>549</v>
      </c>
      <c r="F5" s="12" t="s">
        <v>550</v>
      </c>
      <c r="G5" s="12" t="s">
        <v>551</v>
      </c>
      <c r="H5" s="12"/>
    </row>
    <row r="6" spans="1:8" ht="30" customHeight="1" x14ac:dyDescent="0.3">
      <c r="A6" s="148" t="s">
        <v>7</v>
      </c>
      <c r="B6" s="149" t="s">
        <v>552</v>
      </c>
      <c r="C6" s="44" t="s">
        <v>553</v>
      </c>
      <c r="D6" s="67" t="s">
        <v>554</v>
      </c>
      <c r="E6" s="150" t="s">
        <v>555</v>
      </c>
      <c r="F6" s="149" t="s">
        <v>556</v>
      </c>
      <c r="G6" s="151" t="s">
        <v>557</v>
      </c>
      <c r="H6" s="44"/>
    </row>
    <row r="7" spans="1:8" ht="30" customHeight="1" x14ac:dyDescent="0.3">
      <c r="A7" s="148" t="s">
        <v>11</v>
      </c>
      <c r="B7" s="144" t="s">
        <v>552</v>
      </c>
      <c r="C7" s="49" t="s">
        <v>558</v>
      </c>
      <c r="D7" s="72" t="s">
        <v>51</v>
      </c>
      <c r="E7" s="150" t="s">
        <v>559</v>
      </c>
      <c r="F7" s="144" t="s">
        <v>560</v>
      </c>
      <c r="G7" s="151" t="s">
        <v>557</v>
      </c>
      <c r="H7" s="49"/>
    </row>
    <row r="8" spans="1:8" ht="30" customHeight="1" x14ac:dyDescent="0.3">
      <c r="A8" s="148" t="s">
        <v>15</v>
      </c>
      <c r="B8" s="149" t="s">
        <v>552</v>
      </c>
      <c r="C8" s="44" t="s">
        <v>561</v>
      </c>
      <c r="D8" s="67" t="s">
        <v>562</v>
      </c>
      <c r="E8" s="150" t="s">
        <v>563</v>
      </c>
      <c r="F8" s="149" t="s">
        <v>556</v>
      </c>
      <c r="G8" s="152" t="s">
        <v>564</v>
      </c>
      <c r="H8" s="44"/>
    </row>
    <row r="9" spans="1:8" ht="30" customHeight="1" x14ac:dyDescent="0.3">
      <c r="A9" s="148" t="s">
        <v>19</v>
      </c>
      <c r="B9" s="144" t="s">
        <v>565</v>
      </c>
      <c r="C9" s="49" t="s">
        <v>566</v>
      </c>
      <c r="D9" s="72" t="s">
        <v>567</v>
      </c>
      <c r="E9" s="150" t="s">
        <v>568</v>
      </c>
      <c r="F9" s="144" t="s">
        <v>569</v>
      </c>
      <c r="G9" s="153" t="s">
        <v>570</v>
      </c>
      <c r="H9" s="49"/>
    </row>
    <row r="10" spans="1:8" ht="30" customHeight="1" x14ac:dyDescent="0.3">
      <c r="A10" s="148" t="s">
        <v>23</v>
      </c>
      <c r="B10" s="149" t="s">
        <v>565</v>
      </c>
      <c r="C10" s="44" t="s">
        <v>571</v>
      </c>
      <c r="D10" s="67" t="s">
        <v>572</v>
      </c>
      <c r="E10" s="150" t="s">
        <v>573</v>
      </c>
      <c r="F10" s="149" t="s">
        <v>574</v>
      </c>
      <c r="G10" s="153" t="s">
        <v>575</v>
      </c>
      <c r="H10" s="44"/>
    </row>
    <row r="11" spans="1:8" ht="30" customHeight="1" x14ac:dyDescent="0.3">
      <c r="A11" s="148" t="s">
        <v>27</v>
      </c>
      <c r="B11" s="144" t="s">
        <v>565</v>
      </c>
      <c r="C11" s="49" t="s">
        <v>576</v>
      </c>
      <c r="D11" s="72" t="s">
        <v>577</v>
      </c>
      <c r="E11" s="150" t="s">
        <v>578</v>
      </c>
      <c r="F11" s="144" t="s">
        <v>574</v>
      </c>
      <c r="G11" s="153" t="s">
        <v>570</v>
      </c>
      <c r="H11" s="49"/>
    </row>
    <row r="12" spans="1:8" ht="30" customHeight="1" x14ac:dyDescent="0.3">
      <c r="A12" s="148" t="s">
        <v>31</v>
      </c>
      <c r="B12" s="149" t="s">
        <v>579</v>
      </c>
      <c r="C12" s="44" t="s">
        <v>580</v>
      </c>
      <c r="D12" s="67" t="s">
        <v>581</v>
      </c>
      <c r="E12" s="150" t="s">
        <v>582</v>
      </c>
      <c r="F12" s="149" t="s">
        <v>556</v>
      </c>
      <c r="G12" s="153" t="s">
        <v>583</v>
      </c>
      <c r="H12" s="44"/>
    </row>
    <row r="13" spans="1:8" ht="30" customHeight="1" x14ac:dyDescent="0.3">
      <c r="A13" s="148" t="s">
        <v>35</v>
      </c>
      <c r="B13" s="144" t="s">
        <v>579</v>
      </c>
      <c r="C13" s="49" t="s">
        <v>584</v>
      </c>
      <c r="D13" s="72" t="s">
        <v>585</v>
      </c>
      <c r="E13" s="150" t="s">
        <v>586</v>
      </c>
      <c r="F13" s="144" t="s">
        <v>587</v>
      </c>
      <c r="G13" s="153" t="s">
        <v>588</v>
      </c>
      <c r="H13" s="49"/>
    </row>
    <row r="14" spans="1:8" ht="30" customHeight="1" x14ac:dyDescent="0.3">
      <c r="A14" s="148" t="s">
        <v>39</v>
      </c>
      <c r="B14" s="149" t="s">
        <v>579</v>
      </c>
      <c r="C14" s="44" t="s">
        <v>589</v>
      </c>
      <c r="D14" s="67" t="s">
        <v>590</v>
      </c>
      <c r="E14" s="150" t="s">
        <v>591</v>
      </c>
      <c r="F14" s="149" t="s">
        <v>592</v>
      </c>
      <c r="G14" s="153" t="s">
        <v>593</v>
      </c>
      <c r="H14" s="44"/>
    </row>
    <row r="15" spans="1:8" ht="30" customHeight="1" x14ac:dyDescent="0.3">
      <c r="A15" s="148" t="s">
        <v>56</v>
      </c>
      <c r="B15" s="144" t="s">
        <v>594</v>
      </c>
      <c r="C15" s="49" t="s">
        <v>595</v>
      </c>
      <c r="D15" s="72" t="s">
        <v>596</v>
      </c>
      <c r="E15" s="150" t="s">
        <v>597</v>
      </c>
      <c r="F15" s="144" t="s">
        <v>556</v>
      </c>
      <c r="G15" s="153" t="s">
        <v>598</v>
      </c>
      <c r="H15" s="49"/>
    </row>
    <row r="16" spans="1:8" ht="30" customHeight="1" x14ac:dyDescent="0.3">
      <c r="A16" s="148" t="s">
        <v>58</v>
      </c>
      <c r="B16" s="149" t="s">
        <v>594</v>
      </c>
      <c r="C16" s="44" t="s">
        <v>599</v>
      </c>
      <c r="D16" s="67" t="s">
        <v>600</v>
      </c>
      <c r="E16" s="150" t="s">
        <v>601</v>
      </c>
      <c r="F16" s="149" t="s">
        <v>602</v>
      </c>
      <c r="G16" s="153" t="s">
        <v>570</v>
      </c>
      <c r="H16" s="44"/>
    </row>
    <row r="17" spans="1:8" ht="30" customHeight="1" x14ac:dyDescent="0.3">
      <c r="A17" s="148" t="s">
        <v>62</v>
      </c>
      <c r="B17" s="144" t="s">
        <v>603</v>
      </c>
      <c r="C17" s="49" t="s">
        <v>604</v>
      </c>
      <c r="D17" s="72" t="s">
        <v>605</v>
      </c>
      <c r="E17" s="150" t="s">
        <v>606</v>
      </c>
      <c r="F17" s="144" t="s">
        <v>607</v>
      </c>
      <c r="G17" s="154" t="s">
        <v>608</v>
      </c>
      <c r="H17" s="49"/>
    </row>
    <row r="18" spans="1:8" ht="30" customHeight="1" x14ac:dyDescent="0.3">
      <c r="A18" s="148" t="s">
        <v>66</v>
      </c>
      <c r="B18" s="149" t="s">
        <v>603</v>
      </c>
      <c r="C18" s="44" t="s">
        <v>609</v>
      </c>
      <c r="D18" s="67" t="s">
        <v>610</v>
      </c>
      <c r="E18" s="150" t="s">
        <v>611</v>
      </c>
      <c r="F18" s="149" t="s">
        <v>612</v>
      </c>
      <c r="G18" s="153" t="s">
        <v>613</v>
      </c>
      <c r="H18" s="44"/>
    </row>
    <row r="19" spans="1:8" ht="30" customHeight="1" x14ac:dyDescent="0.3">
      <c r="A19" s="148" t="s">
        <v>69</v>
      </c>
      <c r="B19" s="144" t="s">
        <v>603</v>
      </c>
      <c r="C19" s="49" t="s">
        <v>614</v>
      </c>
      <c r="D19" s="72" t="s">
        <v>615</v>
      </c>
      <c r="E19" s="150" t="s">
        <v>611</v>
      </c>
      <c r="F19" s="144" t="s">
        <v>612</v>
      </c>
      <c r="G19" s="153" t="s">
        <v>613</v>
      </c>
      <c r="H19" s="49"/>
    </row>
    <row r="20" spans="1:8" ht="30" customHeight="1" x14ac:dyDescent="0.3">
      <c r="A20" s="148" t="s">
        <v>73</v>
      </c>
      <c r="B20" s="149" t="s">
        <v>616</v>
      </c>
      <c r="C20" s="44" t="s">
        <v>617</v>
      </c>
      <c r="D20" s="67" t="s">
        <v>618</v>
      </c>
      <c r="E20" s="150" t="s">
        <v>619</v>
      </c>
      <c r="F20" s="149" t="s">
        <v>620</v>
      </c>
      <c r="G20" s="153" t="s">
        <v>621</v>
      </c>
      <c r="H20" s="44"/>
    </row>
    <row r="21" spans="1:8" ht="30" customHeight="1" x14ac:dyDescent="0.3">
      <c r="A21" s="148" t="s">
        <v>77</v>
      </c>
      <c r="B21" s="144" t="s">
        <v>616</v>
      </c>
      <c r="C21" s="49" t="s">
        <v>622</v>
      </c>
      <c r="D21" s="72" t="s">
        <v>623</v>
      </c>
      <c r="E21" s="150" t="s">
        <v>624</v>
      </c>
      <c r="F21" s="144" t="s">
        <v>556</v>
      </c>
      <c r="G21" s="153" t="s">
        <v>625</v>
      </c>
      <c r="H21" s="49"/>
    </row>
    <row r="24" spans="1:8" ht="18" customHeight="1" x14ac:dyDescent="0.3">
      <c r="A24" s="253" t="s">
        <v>626</v>
      </c>
      <c r="B24" s="253"/>
      <c r="C24" s="253"/>
      <c r="D24" s="253"/>
      <c r="E24" s="253"/>
      <c r="F24" s="253"/>
      <c r="G24" s="253"/>
      <c r="H24" s="253"/>
    </row>
    <row r="25" spans="1:8" ht="27.75" customHeight="1" x14ac:dyDescent="0.3">
      <c r="A25" s="23" t="s">
        <v>3</v>
      </c>
      <c r="B25" s="23" t="s">
        <v>627</v>
      </c>
      <c r="C25" s="23" t="s">
        <v>628</v>
      </c>
      <c r="D25" s="23" t="s">
        <v>629</v>
      </c>
      <c r="E25" s="23" t="s">
        <v>630</v>
      </c>
      <c r="F25" s="23" t="s">
        <v>631</v>
      </c>
      <c r="G25" s="23" t="s">
        <v>632</v>
      </c>
      <c r="H25" s="23" t="s">
        <v>550</v>
      </c>
    </row>
    <row r="26" spans="1:8" ht="51.75" customHeight="1" x14ac:dyDescent="0.3">
      <c r="A26" s="154" t="s">
        <v>633</v>
      </c>
      <c r="B26" s="155" t="s">
        <v>634</v>
      </c>
      <c r="C26" s="154" t="s">
        <v>635</v>
      </c>
      <c r="D26" s="154" t="s">
        <v>635</v>
      </c>
      <c r="E26" s="154" t="s">
        <v>636</v>
      </c>
      <c r="F26" s="155" t="s">
        <v>637</v>
      </c>
      <c r="G26" s="153" t="s">
        <v>638</v>
      </c>
      <c r="H26" s="156" t="s">
        <v>556</v>
      </c>
    </row>
    <row r="27" spans="1:8" ht="51.75" customHeight="1" x14ac:dyDescent="0.3">
      <c r="A27" s="154" t="s">
        <v>639</v>
      </c>
      <c r="B27" s="157" t="s">
        <v>640</v>
      </c>
      <c r="C27" s="153" t="s">
        <v>638</v>
      </c>
      <c r="D27" s="153" t="s">
        <v>638</v>
      </c>
      <c r="E27" s="152" t="s">
        <v>641</v>
      </c>
      <c r="F27" s="157" t="s">
        <v>642</v>
      </c>
      <c r="G27" s="151" t="s">
        <v>643</v>
      </c>
      <c r="H27" s="158" t="s">
        <v>644</v>
      </c>
    </row>
    <row r="28" spans="1:8" ht="51.75" customHeight="1" x14ac:dyDescent="0.3">
      <c r="A28" s="154" t="s">
        <v>645</v>
      </c>
      <c r="B28" s="155" t="s">
        <v>646</v>
      </c>
      <c r="C28" s="153" t="s">
        <v>638</v>
      </c>
      <c r="D28" s="154" t="s">
        <v>635</v>
      </c>
      <c r="E28" s="154" t="s">
        <v>647</v>
      </c>
      <c r="F28" s="155" t="s">
        <v>648</v>
      </c>
      <c r="G28" s="153" t="s">
        <v>638</v>
      </c>
      <c r="H28" s="156" t="s">
        <v>649</v>
      </c>
    </row>
    <row r="29" spans="1:8" ht="51.75" customHeight="1" x14ac:dyDescent="0.3">
      <c r="A29" s="154" t="s">
        <v>650</v>
      </c>
      <c r="B29" s="157" t="s">
        <v>651</v>
      </c>
      <c r="C29" s="151" t="s">
        <v>643</v>
      </c>
      <c r="D29" s="154" t="s">
        <v>652</v>
      </c>
      <c r="E29" s="152" t="s">
        <v>641</v>
      </c>
      <c r="F29" s="157" t="s">
        <v>653</v>
      </c>
      <c r="G29" s="151" t="s">
        <v>643</v>
      </c>
      <c r="H29" s="158" t="s">
        <v>602</v>
      </c>
    </row>
    <row r="30" spans="1:8" ht="51.75" customHeight="1" x14ac:dyDescent="0.3">
      <c r="A30" s="154" t="s">
        <v>654</v>
      </c>
      <c r="B30" s="155" t="s">
        <v>655</v>
      </c>
      <c r="C30" s="153" t="s">
        <v>638</v>
      </c>
      <c r="D30" s="153" t="s">
        <v>638</v>
      </c>
      <c r="E30" s="152" t="s">
        <v>641</v>
      </c>
      <c r="F30" s="155" t="s">
        <v>656</v>
      </c>
      <c r="G30" s="151" t="s">
        <v>643</v>
      </c>
      <c r="H30" s="156" t="s">
        <v>556</v>
      </c>
    </row>
    <row r="31" spans="1:8" ht="51.75" customHeight="1" x14ac:dyDescent="0.3">
      <c r="A31" s="154" t="s">
        <v>657</v>
      </c>
      <c r="B31" s="157" t="s">
        <v>658</v>
      </c>
      <c r="C31" s="151" t="s">
        <v>643</v>
      </c>
      <c r="D31" s="154" t="s">
        <v>652</v>
      </c>
      <c r="E31" s="152" t="s">
        <v>641</v>
      </c>
      <c r="F31" s="157" t="s">
        <v>659</v>
      </c>
      <c r="G31" s="151" t="s">
        <v>643</v>
      </c>
      <c r="H31" s="158" t="s">
        <v>660</v>
      </c>
    </row>
    <row r="32" spans="1:8" ht="51.75" customHeight="1" x14ac:dyDescent="0.3">
      <c r="A32" s="154" t="s">
        <v>661</v>
      </c>
      <c r="B32" s="155" t="s">
        <v>662</v>
      </c>
      <c r="C32" s="153" t="s">
        <v>638</v>
      </c>
      <c r="D32" s="153" t="s">
        <v>638</v>
      </c>
      <c r="E32" s="152" t="s">
        <v>641</v>
      </c>
      <c r="F32" s="155" t="s">
        <v>663</v>
      </c>
      <c r="G32" s="151" t="s">
        <v>643</v>
      </c>
      <c r="H32" s="156" t="s">
        <v>664</v>
      </c>
    </row>
    <row r="33" spans="1:8" ht="51.75" customHeight="1" x14ac:dyDescent="0.3">
      <c r="A33" s="154" t="s">
        <v>665</v>
      </c>
      <c r="B33" s="157" t="s">
        <v>666</v>
      </c>
      <c r="C33" s="153" t="s">
        <v>638</v>
      </c>
      <c r="D33" s="154" t="s">
        <v>635</v>
      </c>
      <c r="E33" s="154" t="s">
        <v>647</v>
      </c>
      <c r="F33" s="157" t="s">
        <v>667</v>
      </c>
      <c r="G33" s="153" t="s">
        <v>638</v>
      </c>
      <c r="H33" s="158" t="s">
        <v>668</v>
      </c>
    </row>
    <row r="34" spans="1:8" ht="51.75" customHeight="1" x14ac:dyDescent="0.3">
      <c r="A34" s="154" t="s">
        <v>669</v>
      </c>
      <c r="B34" s="155" t="s">
        <v>670</v>
      </c>
      <c r="C34" s="151" t="s">
        <v>643</v>
      </c>
      <c r="D34" s="154" t="s">
        <v>652</v>
      </c>
      <c r="E34" s="152" t="s">
        <v>641</v>
      </c>
      <c r="F34" s="155" t="s">
        <v>671</v>
      </c>
      <c r="G34" s="151" t="s">
        <v>643</v>
      </c>
      <c r="H34" s="156" t="s">
        <v>672</v>
      </c>
    </row>
    <row r="35" spans="1:8" ht="51.75" customHeight="1" x14ac:dyDescent="0.3">
      <c r="A35" s="154" t="s">
        <v>673</v>
      </c>
      <c r="B35" s="157" t="s">
        <v>674</v>
      </c>
      <c r="C35" s="153" t="s">
        <v>638</v>
      </c>
      <c r="D35" s="153" t="s">
        <v>638</v>
      </c>
      <c r="E35" s="152" t="s">
        <v>641</v>
      </c>
      <c r="F35" s="157" t="s">
        <v>675</v>
      </c>
      <c r="G35" s="151" t="s">
        <v>643</v>
      </c>
      <c r="H35" s="158" t="s">
        <v>592</v>
      </c>
    </row>
  </sheetData>
  <mergeCells count="4">
    <mergeCell ref="A1:H1"/>
    <mergeCell ref="A2:H2"/>
    <mergeCell ref="A4:H4"/>
    <mergeCell ref="A24:H2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2"/>
  <sheetViews>
    <sheetView showGridLines="0" topLeftCell="A75" zoomScaleNormal="100" workbookViewId="0">
      <selection sqref="A1:L1"/>
    </sheetView>
  </sheetViews>
  <sheetFormatPr defaultColWidth="8.6640625" defaultRowHeight="14.4" x14ac:dyDescent="0.3"/>
  <cols>
    <col min="1" max="1" width="10" customWidth="1"/>
    <col min="2" max="2" width="14" customWidth="1"/>
    <col min="3" max="3" width="42" customWidth="1"/>
    <col min="4" max="4" width="20" customWidth="1"/>
    <col min="5" max="5" width="42" customWidth="1"/>
    <col min="6" max="6" width="30" customWidth="1"/>
    <col min="7" max="12" width="1" customWidth="1"/>
  </cols>
  <sheetData>
    <row r="1" spans="1:12" ht="27.75" customHeight="1" x14ac:dyDescent="0.3">
      <c r="A1" s="254" t="s">
        <v>676</v>
      </c>
      <c r="B1" s="254"/>
      <c r="C1" s="254"/>
      <c r="D1" s="254"/>
      <c r="E1" s="254"/>
      <c r="F1" s="254"/>
      <c r="G1" s="254"/>
      <c r="H1" s="254"/>
      <c r="I1" s="254"/>
      <c r="J1" s="254"/>
      <c r="K1" s="254"/>
      <c r="L1" s="254"/>
    </row>
    <row r="2" spans="1:12" ht="12.75" customHeight="1" x14ac:dyDescent="0.3">
      <c r="A2" s="255" t="s">
        <v>677</v>
      </c>
      <c r="B2" s="255"/>
      <c r="C2" s="255"/>
      <c r="D2" s="255"/>
      <c r="E2" s="255"/>
      <c r="F2" s="255"/>
      <c r="G2" s="255"/>
      <c r="H2" s="255"/>
      <c r="I2" s="255"/>
      <c r="J2" s="255"/>
      <c r="K2" s="255"/>
      <c r="L2" s="255"/>
    </row>
    <row r="4" spans="1:12" ht="18" customHeight="1" x14ac:dyDescent="0.3">
      <c r="A4" s="256" t="s">
        <v>678</v>
      </c>
      <c r="B4" s="256"/>
      <c r="C4" s="256"/>
      <c r="D4" s="256"/>
      <c r="E4" s="256"/>
      <c r="F4" s="256"/>
      <c r="G4" s="256"/>
      <c r="H4" s="256"/>
      <c r="I4" s="256"/>
      <c r="J4" s="256"/>
      <c r="K4" s="256"/>
      <c r="L4" s="256"/>
    </row>
    <row r="5" spans="1:12" ht="27.75" customHeight="1" x14ac:dyDescent="0.3">
      <c r="A5" s="12" t="s">
        <v>679</v>
      </c>
      <c r="B5" s="12" t="s">
        <v>680</v>
      </c>
      <c r="C5" s="12" t="s">
        <v>681</v>
      </c>
      <c r="D5" s="12" t="s">
        <v>682</v>
      </c>
      <c r="E5" s="12" t="s">
        <v>683</v>
      </c>
      <c r="F5" s="12" t="s">
        <v>684</v>
      </c>
      <c r="G5" s="12" t="s">
        <v>685</v>
      </c>
      <c r="H5" s="12" t="s">
        <v>686</v>
      </c>
      <c r="I5" s="12" t="s">
        <v>687</v>
      </c>
      <c r="J5" s="12" t="s">
        <v>550</v>
      </c>
      <c r="K5" s="12" t="s">
        <v>688</v>
      </c>
      <c r="L5" s="12" t="s">
        <v>551</v>
      </c>
    </row>
    <row r="6" spans="1:12" ht="27.75" customHeight="1" x14ac:dyDescent="0.3">
      <c r="A6" s="148" t="s">
        <v>689</v>
      </c>
      <c r="B6" s="159" t="s">
        <v>690</v>
      </c>
      <c r="C6" s="160" t="s">
        <v>691</v>
      </c>
      <c r="D6" s="161"/>
      <c r="E6" s="161"/>
      <c r="F6" s="161"/>
      <c r="G6" s="161"/>
      <c r="H6" s="161"/>
      <c r="I6" s="162" t="s">
        <v>692</v>
      </c>
      <c r="J6" s="148" t="s">
        <v>556</v>
      </c>
      <c r="K6" s="163">
        <f>SUM(F41:F43)</f>
        <v>0</v>
      </c>
      <c r="L6" s="164" t="s">
        <v>693</v>
      </c>
    </row>
    <row r="7" spans="1:12" ht="27.75" customHeight="1" x14ac:dyDescent="0.3">
      <c r="A7" s="151" t="s">
        <v>694</v>
      </c>
      <c r="B7" s="134" t="s">
        <v>695</v>
      </c>
      <c r="C7" s="165"/>
      <c r="D7" s="166" t="s">
        <v>691</v>
      </c>
      <c r="E7" s="165"/>
      <c r="F7" s="165"/>
      <c r="G7" s="165"/>
      <c r="H7" s="165"/>
      <c r="I7" s="167" t="s">
        <v>696</v>
      </c>
      <c r="J7" s="151" t="s">
        <v>602</v>
      </c>
      <c r="K7" s="22" t="s">
        <v>697</v>
      </c>
      <c r="L7" s="164" t="s">
        <v>693</v>
      </c>
    </row>
    <row r="8" spans="1:12" ht="27.75" customHeight="1" x14ac:dyDescent="0.3">
      <c r="A8" s="151" t="s">
        <v>698</v>
      </c>
      <c r="B8" s="134" t="s">
        <v>699</v>
      </c>
      <c r="C8" s="165"/>
      <c r="D8" s="165"/>
      <c r="E8" s="166" t="s">
        <v>691</v>
      </c>
      <c r="F8" s="165"/>
      <c r="G8" s="165"/>
      <c r="H8" s="165"/>
      <c r="I8" s="167" t="s">
        <v>700</v>
      </c>
      <c r="J8" s="151" t="s">
        <v>602</v>
      </c>
      <c r="K8" s="168">
        <f>H17*0.27</f>
        <v>0</v>
      </c>
      <c r="L8" s="164" t="s">
        <v>693</v>
      </c>
    </row>
    <row r="9" spans="1:12" ht="27.75" customHeight="1" x14ac:dyDescent="0.3">
      <c r="A9" s="152" t="s">
        <v>701</v>
      </c>
      <c r="B9" s="169" t="s">
        <v>702</v>
      </c>
      <c r="C9" s="170"/>
      <c r="D9" s="170"/>
      <c r="E9" s="170"/>
      <c r="F9" s="171" t="s">
        <v>691</v>
      </c>
      <c r="G9" s="170"/>
      <c r="H9" s="170"/>
      <c r="I9" s="172" t="s">
        <v>703</v>
      </c>
      <c r="J9" s="152" t="s">
        <v>602</v>
      </c>
      <c r="K9" s="173">
        <f>H17*0.35</f>
        <v>0</v>
      </c>
      <c r="L9" s="164" t="s">
        <v>693</v>
      </c>
    </row>
    <row r="10" spans="1:12" ht="27.75" customHeight="1" x14ac:dyDescent="0.3">
      <c r="A10" s="152" t="s">
        <v>704</v>
      </c>
      <c r="B10" s="169" t="s">
        <v>705</v>
      </c>
      <c r="C10" s="170"/>
      <c r="D10" s="170"/>
      <c r="E10" s="170"/>
      <c r="F10" s="170"/>
      <c r="G10" s="171" t="s">
        <v>691</v>
      </c>
      <c r="H10" s="170"/>
      <c r="I10" s="172" t="s">
        <v>706</v>
      </c>
      <c r="J10" s="152" t="s">
        <v>602</v>
      </c>
      <c r="K10" s="173">
        <f>H17*0.38</f>
        <v>0</v>
      </c>
      <c r="L10" s="164" t="s">
        <v>693</v>
      </c>
    </row>
    <row r="11" spans="1:12" ht="27.75" customHeight="1" x14ac:dyDescent="0.3">
      <c r="A11" s="153" t="s">
        <v>707</v>
      </c>
      <c r="B11" s="174" t="s">
        <v>708</v>
      </c>
      <c r="C11" s="175"/>
      <c r="D11" s="175"/>
      <c r="E11" s="175"/>
      <c r="F11" s="175"/>
      <c r="G11" s="175"/>
      <c r="H11" s="176" t="s">
        <v>691</v>
      </c>
      <c r="I11" s="177" t="s">
        <v>709</v>
      </c>
      <c r="J11" s="153" t="s">
        <v>664</v>
      </c>
      <c r="K11" s="178" t="s">
        <v>710</v>
      </c>
      <c r="L11" s="164" t="s">
        <v>693</v>
      </c>
    </row>
    <row r="13" spans="1:12" ht="18" customHeight="1" x14ac:dyDescent="0.3">
      <c r="A13" s="256" t="s">
        <v>711</v>
      </c>
      <c r="B13" s="256"/>
      <c r="C13" s="256"/>
      <c r="D13" s="256"/>
      <c r="E13" s="256"/>
      <c r="F13" s="256"/>
      <c r="G13" s="256"/>
      <c r="H13" s="256"/>
      <c r="I13" s="256"/>
      <c r="J13" s="256"/>
      <c r="K13" s="256"/>
      <c r="L13" s="256"/>
    </row>
    <row r="14" spans="1:12" ht="24" customHeight="1" x14ac:dyDescent="0.3">
      <c r="A14" s="12" t="s">
        <v>712</v>
      </c>
      <c r="B14" s="12" t="s">
        <v>547</v>
      </c>
      <c r="C14" s="12" t="s">
        <v>713</v>
      </c>
      <c r="D14" s="12" t="s">
        <v>550</v>
      </c>
      <c r="E14" s="12" t="s">
        <v>714</v>
      </c>
      <c r="F14" s="12" t="s">
        <v>715</v>
      </c>
      <c r="G14" s="12"/>
      <c r="H14" s="12"/>
      <c r="I14" s="12"/>
      <c r="J14" s="12"/>
      <c r="K14" s="12"/>
      <c r="L14" s="12"/>
    </row>
    <row r="15" spans="1:12" ht="36" customHeight="1" x14ac:dyDescent="0.3">
      <c r="A15" s="144" t="s">
        <v>716</v>
      </c>
      <c r="B15" s="8" t="s">
        <v>616</v>
      </c>
      <c r="C15" s="49" t="s">
        <v>717</v>
      </c>
      <c r="D15" s="144" t="s">
        <v>668</v>
      </c>
      <c r="E15" s="179" t="s">
        <v>718</v>
      </c>
      <c r="F15" s="294" t="s">
        <v>719</v>
      </c>
      <c r="G15" s="294"/>
      <c r="H15" s="294"/>
      <c r="I15" s="294"/>
      <c r="J15" s="294"/>
      <c r="K15" s="294"/>
      <c r="L15" s="294"/>
    </row>
    <row r="16" spans="1:12" ht="36" customHeight="1" x14ac:dyDescent="0.3">
      <c r="A16" s="149" t="s">
        <v>716</v>
      </c>
      <c r="B16" s="3" t="s">
        <v>720</v>
      </c>
      <c r="C16" s="44" t="s">
        <v>721</v>
      </c>
      <c r="D16" s="149" t="s">
        <v>556</v>
      </c>
      <c r="E16" s="180" t="s">
        <v>722</v>
      </c>
      <c r="F16" s="294" t="s">
        <v>723</v>
      </c>
      <c r="G16" s="294"/>
      <c r="H16" s="294"/>
      <c r="I16" s="294"/>
      <c r="J16" s="294"/>
      <c r="K16" s="294"/>
      <c r="L16" s="294"/>
    </row>
    <row r="17" spans="1:12" ht="36" customHeight="1" x14ac:dyDescent="0.3">
      <c r="A17" s="144" t="s">
        <v>716</v>
      </c>
      <c r="B17" s="3" t="s">
        <v>720</v>
      </c>
      <c r="C17" s="49" t="s">
        <v>724</v>
      </c>
      <c r="D17" s="144" t="s">
        <v>556</v>
      </c>
      <c r="E17" s="179" t="s">
        <v>725</v>
      </c>
      <c r="F17" s="294" t="s">
        <v>726</v>
      </c>
      <c r="G17" s="294"/>
      <c r="H17" s="294"/>
      <c r="I17" s="294"/>
      <c r="J17" s="294"/>
      <c r="K17" s="294"/>
      <c r="L17" s="294"/>
    </row>
    <row r="18" spans="1:12" ht="36" customHeight="1" x14ac:dyDescent="0.3">
      <c r="A18" s="149" t="s">
        <v>727</v>
      </c>
      <c r="B18" s="3" t="s">
        <v>720</v>
      </c>
      <c r="C18" s="44" t="s">
        <v>728</v>
      </c>
      <c r="D18" s="149" t="s">
        <v>556</v>
      </c>
      <c r="E18" s="180" t="s">
        <v>729</v>
      </c>
      <c r="F18" s="294" t="s">
        <v>730</v>
      </c>
      <c r="G18" s="294"/>
      <c r="H18" s="294"/>
      <c r="I18" s="294"/>
      <c r="J18" s="294"/>
      <c r="K18" s="294"/>
      <c r="L18" s="294"/>
    </row>
    <row r="19" spans="1:12" ht="36" customHeight="1" x14ac:dyDescent="0.3">
      <c r="A19" s="144" t="s">
        <v>727</v>
      </c>
      <c r="B19" s="3" t="s">
        <v>720</v>
      </c>
      <c r="C19" s="49" t="s">
        <v>731</v>
      </c>
      <c r="D19" s="144" t="s">
        <v>556</v>
      </c>
      <c r="E19" s="179" t="s">
        <v>732</v>
      </c>
      <c r="F19" s="294" t="s">
        <v>733</v>
      </c>
      <c r="G19" s="294"/>
      <c r="H19" s="294"/>
      <c r="I19" s="294"/>
      <c r="J19" s="294"/>
      <c r="K19" s="294"/>
      <c r="L19" s="294"/>
    </row>
    <row r="20" spans="1:12" ht="36" customHeight="1" x14ac:dyDescent="0.3">
      <c r="A20" s="149" t="s">
        <v>727</v>
      </c>
      <c r="B20" s="181" t="s">
        <v>734</v>
      </c>
      <c r="C20" s="44" t="s">
        <v>735</v>
      </c>
      <c r="D20" s="149" t="s">
        <v>556</v>
      </c>
      <c r="E20" s="180" t="s">
        <v>736</v>
      </c>
      <c r="F20" s="294" t="s">
        <v>737</v>
      </c>
      <c r="G20" s="294"/>
      <c r="H20" s="294"/>
      <c r="I20" s="294"/>
      <c r="J20" s="294"/>
      <c r="K20" s="294"/>
      <c r="L20" s="294"/>
    </row>
    <row r="21" spans="1:12" ht="36" customHeight="1" x14ac:dyDescent="0.3">
      <c r="A21" s="144" t="s">
        <v>738</v>
      </c>
      <c r="B21" s="181" t="s">
        <v>739</v>
      </c>
      <c r="C21" s="49" t="s">
        <v>740</v>
      </c>
      <c r="D21" s="144" t="s">
        <v>741</v>
      </c>
      <c r="E21" s="179" t="s">
        <v>742</v>
      </c>
      <c r="F21" s="294" t="s">
        <v>743</v>
      </c>
      <c r="G21" s="294"/>
      <c r="H21" s="294"/>
      <c r="I21" s="294"/>
      <c r="J21" s="294"/>
      <c r="K21" s="294"/>
      <c r="L21" s="294"/>
    </row>
    <row r="22" spans="1:12" ht="36" customHeight="1" x14ac:dyDescent="0.3">
      <c r="A22" s="149" t="s">
        <v>738</v>
      </c>
      <c r="B22" s="181" t="s">
        <v>739</v>
      </c>
      <c r="C22" s="44" t="s">
        <v>744</v>
      </c>
      <c r="D22" s="149" t="s">
        <v>556</v>
      </c>
      <c r="E22" s="180" t="s">
        <v>745</v>
      </c>
      <c r="F22" s="294" t="s">
        <v>746</v>
      </c>
      <c r="G22" s="294"/>
      <c r="H22" s="294"/>
      <c r="I22" s="294"/>
      <c r="J22" s="294"/>
      <c r="K22" s="294"/>
      <c r="L22" s="294"/>
    </row>
    <row r="23" spans="1:12" ht="36" customHeight="1" x14ac:dyDescent="0.3">
      <c r="A23" s="144" t="s">
        <v>747</v>
      </c>
      <c r="B23" s="181" t="s">
        <v>748</v>
      </c>
      <c r="C23" s="49" t="s">
        <v>749</v>
      </c>
      <c r="D23" s="144" t="s">
        <v>602</v>
      </c>
      <c r="E23" s="179" t="s">
        <v>750</v>
      </c>
      <c r="F23" s="294" t="s">
        <v>751</v>
      </c>
      <c r="G23" s="294"/>
      <c r="H23" s="294"/>
      <c r="I23" s="294"/>
      <c r="J23" s="294"/>
      <c r="K23" s="294"/>
      <c r="L23" s="294"/>
    </row>
    <row r="24" spans="1:12" ht="36" customHeight="1" x14ac:dyDescent="0.3">
      <c r="A24" s="149" t="s">
        <v>747</v>
      </c>
      <c r="B24" s="181" t="s">
        <v>752</v>
      </c>
      <c r="C24" s="44" t="s">
        <v>753</v>
      </c>
      <c r="D24" s="149" t="s">
        <v>602</v>
      </c>
      <c r="E24" s="180" t="s">
        <v>754</v>
      </c>
      <c r="F24" s="294" t="s">
        <v>755</v>
      </c>
      <c r="G24" s="294"/>
      <c r="H24" s="294"/>
      <c r="I24" s="294"/>
      <c r="J24" s="294"/>
      <c r="K24" s="294"/>
      <c r="L24" s="294"/>
    </row>
    <row r="27" spans="1:12" ht="18" customHeight="1" x14ac:dyDescent="0.3">
      <c r="A27" s="251" t="s">
        <v>756</v>
      </c>
      <c r="B27" s="251"/>
      <c r="C27" s="251"/>
      <c r="D27" s="251"/>
      <c r="E27" s="251"/>
      <c r="F27" s="251"/>
      <c r="G27" s="251"/>
      <c r="H27" s="251"/>
      <c r="I27" s="251"/>
      <c r="J27" s="251"/>
      <c r="K27" s="251"/>
      <c r="L27" s="251"/>
    </row>
    <row r="28" spans="1:12" ht="24" customHeight="1" x14ac:dyDescent="0.3">
      <c r="A28" s="28" t="s">
        <v>712</v>
      </c>
      <c r="B28" s="28" t="s">
        <v>547</v>
      </c>
      <c r="C28" s="28" t="s">
        <v>713</v>
      </c>
      <c r="D28" s="28" t="s">
        <v>550</v>
      </c>
      <c r="E28" s="28" t="s">
        <v>714</v>
      </c>
      <c r="F28" s="28" t="s">
        <v>715</v>
      </c>
      <c r="G28" s="28"/>
      <c r="H28" s="28"/>
      <c r="I28" s="28"/>
      <c r="J28" s="28"/>
      <c r="K28" s="28"/>
      <c r="L28" s="28"/>
    </row>
    <row r="29" spans="1:12" ht="36" customHeight="1" x14ac:dyDescent="0.3">
      <c r="A29" s="144" t="s">
        <v>757</v>
      </c>
      <c r="B29" s="7" t="s">
        <v>594</v>
      </c>
      <c r="C29" s="49" t="s">
        <v>758</v>
      </c>
      <c r="D29" s="144" t="s">
        <v>602</v>
      </c>
      <c r="E29" s="179" t="s">
        <v>759</v>
      </c>
      <c r="F29" s="294" t="s">
        <v>760</v>
      </c>
      <c r="G29" s="294"/>
      <c r="H29" s="294"/>
      <c r="I29" s="294"/>
      <c r="J29" s="294"/>
      <c r="K29" s="294"/>
      <c r="L29" s="294"/>
    </row>
    <row r="30" spans="1:12" ht="36" customHeight="1" x14ac:dyDescent="0.3">
      <c r="A30" s="149" t="s">
        <v>757</v>
      </c>
      <c r="B30" s="7" t="s">
        <v>594</v>
      </c>
      <c r="C30" s="44" t="s">
        <v>761</v>
      </c>
      <c r="D30" s="149" t="s">
        <v>602</v>
      </c>
      <c r="E30" s="180" t="s">
        <v>762</v>
      </c>
      <c r="F30" s="294" t="s">
        <v>763</v>
      </c>
      <c r="G30" s="294"/>
      <c r="H30" s="294"/>
      <c r="I30" s="294"/>
      <c r="J30" s="294"/>
      <c r="K30" s="294"/>
      <c r="L30" s="294"/>
    </row>
    <row r="31" spans="1:12" ht="36" customHeight="1" x14ac:dyDescent="0.3">
      <c r="A31" s="144" t="s">
        <v>764</v>
      </c>
      <c r="B31" s="5" t="s">
        <v>765</v>
      </c>
      <c r="C31" s="49" t="s">
        <v>766</v>
      </c>
      <c r="D31" s="144" t="s">
        <v>602</v>
      </c>
      <c r="E31" s="179" t="s">
        <v>767</v>
      </c>
      <c r="F31" s="294" t="s">
        <v>768</v>
      </c>
      <c r="G31" s="294"/>
      <c r="H31" s="294"/>
      <c r="I31" s="294"/>
      <c r="J31" s="294"/>
      <c r="K31" s="294"/>
      <c r="L31" s="294"/>
    </row>
    <row r="32" spans="1:12" ht="36" customHeight="1" x14ac:dyDescent="0.3">
      <c r="A32" s="149" t="s">
        <v>764</v>
      </c>
      <c r="B32" s="5" t="s">
        <v>765</v>
      </c>
      <c r="C32" s="44" t="s">
        <v>769</v>
      </c>
      <c r="D32" s="149" t="s">
        <v>587</v>
      </c>
      <c r="E32" s="180" t="s">
        <v>770</v>
      </c>
      <c r="F32" s="294" t="s">
        <v>771</v>
      </c>
      <c r="G32" s="294"/>
      <c r="H32" s="294"/>
      <c r="I32" s="294"/>
      <c r="J32" s="294"/>
      <c r="K32" s="294"/>
      <c r="L32" s="294"/>
    </row>
    <row r="33" spans="1:12" ht="36" customHeight="1" x14ac:dyDescent="0.3">
      <c r="A33" s="144" t="s">
        <v>764</v>
      </c>
      <c r="B33" s="181" t="s">
        <v>772</v>
      </c>
      <c r="C33" s="49" t="s">
        <v>773</v>
      </c>
      <c r="D33" s="144" t="s">
        <v>774</v>
      </c>
      <c r="E33" s="179" t="s">
        <v>775</v>
      </c>
      <c r="F33" s="294" t="s">
        <v>776</v>
      </c>
      <c r="G33" s="294"/>
      <c r="H33" s="294"/>
      <c r="I33" s="294"/>
      <c r="J33" s="294"/>
      <c r="K33" s="294"/>
      <c r="L33" s="294"/>
    </row>
    <row r="34" spans="1:12" ht="36" customHeight="1" x14ac:dyDescent="0.3">
      <c r="A34" s="149" t="s">
        <v>777</v>
      </c>
      <c r="B34" s="181" t="s">
        <v>734</v>
      </c>
      <c r="C34" s="44" t="s">
        <v>778</v>
      </c>
      <c r="D34" s="149" t="s">
        <v>556</v>
      </c>
      <c r="E34" s="180" t="s">
        <v>779</v>
      </c>
      <c r="F34" s="294" t="s">
        <v>780</v>
      </c>
      <c r="G34" s="294"/>
      <c r="H34" s="294"/>
      <c r="I34" s="294"/>
      <c r="J34" s="294"/>
      <c r="K34" s="294"/>
      <c r="L34" s="294"/>
    </row>
    <row r="35" spans="1:12" ht="36" customHeight="1" x14ac:dyDescent="0.3">
      <c r="A35" s="144" t="s">
        <v>781</v>
      </c>
      <c r="B35" s="181" t="s">
        <v>782</v>
      </c>
      <c r="C35" s="49" t="s">
        <v>783</v>
      </c>
      <c r="D35" s="144" t="s">
        <v>569</v>
      </c>
      <c r="E35" s="179" t="s">
        <v>784</v>
      </c>
      <c r="F35" s="294" t="s">
        <v>785</v>
      </c>
      <c r="G35" s="294"/>
      <c r="H35" s="294"/>
      <c r="I35" s="294"/>
      <c r="J35" s="294"/>
      <c r="K35" s="294"/>
      <c r="L35" s="294"/>
    </row>
    <row r="38" spans="1:12" ht="18" customHeight="1" x14ac:dyDescent="0.3">
      <c r="A38" s="286" t="s">
        <v>786</v>
      </c>
      <c r="B38" s="286"/>
      <c r="C38" s="286"/>
      <c r="D38" s="286"/>
      <c r="E38" s="286"/>
      <c r="F38" s="286"/>
      <c r="G38" s="286"/>
      <c r="H38" s="286"/>
      <c r="I38" s="286"/>
      <c r="J38" s="286"/>
      <c r="K38" s="286"/>
      <c r="L38" s="286"/>
    </row>
    <row r="39" spans="1:12" ht="24" customHeight="1" x14ac:dyDescent="0.3">
      <c r="A39" s="41" t="s">
        <v>712</v>
      </c>
      <c r="B39" s="41" t="s">
        <v>547</v>
      </c>
      <c r="C39" s="41" t="s">
        <v>713</v>
      </c>
      <c r="D39" s="41" t="s">
        <v>550</v>
      </c>
      <c r="E39" s="41" t="s">
        <v>714</v>
      </c>
      <c r="F39" s="41" t="s">
        <v>715</v>
      </c>
      <c r="G39" s="41"/>
      <c r="H39" s="41"/>
      <c r="I39" s="41"/>
      <c r="J39" s="41"/>
      <c r="K39" s="41"/>
      <c r="L39" s="41"/>
    </row>
    <row r="40" spans="1:12" ht="36" customHeight="1" x14ac:dyDescent="0.3">
      <c r="A40" s="149" t="s">
        <v>787</v>
      </c>
      <c r="B40" s="7" t="s">
        <v>594</v>
      </c>
      <c r="C40" s="44" t="s">
        <v>788</v>
      </c>
      <c r="D40" s="149" t="s">
        <v>602</v>
      </c>
      <c r="E40" s="180" t="s">
        <v>789</v>
      </c>
      <c r="F40" s="294" t="s">
        <v>790</v>
      </c>
      <c r="G40" s="294"/>
      <c r="H40" s="294"/>
      <c r="I40" s="294"/>
      <c r="J40" s="294"/>
      <c r="K40" s="294"/>
      <c r="L40" s="294"/>
    </row>
    <row r="41" spans="1:12" ht="36" customHeight="1" x14ac:dyDescent="0.3">
      <c r="A41" s="144" t="s">
        <v>787</v>
      </c>
      <c r="B41" s="7" t="s">
        <v>594</v>
      </c>
      <c r="C41" s="49" t="s">
        <v>791</v>
      </c>
      <c r="D41" s="144" t="s">
        <v>556</v>
      </c>
      <c r="E41" s="179" t="s">
        <v>792</v>
      </c>
      <c r="F41" s="294" t="s">
        <v>793</v>
      </c>
      <c r="G41" s="294"/>
      <c r="H41" s="294"/>
      <c r="I41" s="294"/>
      <c r="J41" s="294"/>
      <c r="K41" s="294"/>
      <c r="L41" s="294"/>
    </row>
    <row r="42" spans="1:12" ht="36" customHeight="1" x14ac:dyDescent="0.3">
      <c r="A42" s="149" t="s">
        <v>787</v>
      </c>
      <c r="B42" s="7" t="s">
        <v>594</v>
      </c>
      <c r="C42" s="44" t="s">
        <v>794</v>
      </c>
      <c r="D42" s="149" t="s">
        <v>556</v>
      </c>
      <c r="E42" s="180" t="s">
        <v>795</v>
      </c>
      <c r="F42" s="294" t="s">
        <v>796</v>
      </c>
      <c r="G42" s="294"/>
      <c r="H42" s="294"/>
      <c r="I42" s="294"/>
      <c r="J42" s="294"/>
      <c r="K42" s="294"/>
      <c r="L42" s="294"/>
    </row>
    <row r="43" spans="1:12" ht="36" customHeight="1" x14ac:dyDescent="0.3">
      <c r="A43" s="144" t="s">
        <v>797</v>
      </c>
      <c r="B43" s="7" t="s">
        <v>594</v>
      </c>
      <c r="C43" s="49" t="s">
        <v>798</v>
      </c>
      <c r="D43" s="144" t="s">
        <v>602</v>
      </c>
      <c r="E43" s="179" t="s">
        <v>799</v>
      </c>
      <c r="F43" s="294" t="s">
        <v>800</v>
      </c>
      <c r="G43" s="294"/>
      <c r="H43" s="294"/>
      <c r="I43" s="294"/>
      <c r="J43" s="294"/>
      <c r="K43" s="294"/>
      <c r="L43" s="294"/>
    </row>
    <row r="44" spans="1:12" ht="36" customHeight="1" x14ac:dyDescent="0.3">
      <c r="A44" s="149" t="s">
        <v>797</v>
      </c>
      <c r="B44" s="7" t="s">
        <v>594</v>
      </c>
      <c r="C44" s="44" t="s">
        <v>801</v>
      </c>
      <c r="D44" s="149" t="s">
        <v>602</v>
      </c>
      <c r="E44" s="180" t="s">
        <v>802</v>
      </c>
      <c r="F44" s="294" t="s">
        <v>803</v>
      </c>
      <c r="G44" s="294"/>
      <c r="H44" s="294"/>
      <c r="I44" s="294"/>
      <c r="J44" s="294"/>
      <c r="K44" s="294"/>
      <c r="L44" s="294"/>
    </row>
    <row r="45" spans="1:12" ht="36" customHeight="1" x14ac:dyDescent="0.3">
      <c r="A45" s="144" t="s">
        <v>804</v>
      </c>
      <c r="B45" s="7" t="s">
        <v>594</v>
      </c>
      <c r="C45" s="49" t="s">
        <v>805</v>
      </c>
      <c r="D45" s="144" t="s">
        <v>602</v>
      </c>
      <c r="E45" s="179" t="s">
        <v>806</v>
      </c>
      <c r="F45" s="294" t="s">
        <v>807</v>
      </c>
      <c r="G45" s="294"/>
      <c r="H45" s="294"/>
      <c r="I45" s="294"/>
      <c r="J45" s="294"/>
      <c r="K45" s="294"/>
      <c r="L45" s="294"/>
    </row>
    <row r="46" spans="1:12" ht="36" customHeight="1" x14ac:dyDescent="0.3">
      <c r="A46" s="149" t="s">
        <v>804</v>
      </c>
      <c r="B46" s="5" t="s">
        <v>765</v>
      </c>
      <c r="C46" s="44" t="s">
        <v>808</v>
      </c>
      <c r="D46" s="149" t="s">
        <v>602</v>
      </c>
      <c r="E46" s="180" t="s">
        <v>809</v>
      </c>
      <c r="F46" s="294" t="s">
        <v>810</v>
      </c>
      <c r="G46" s="294"/>
      <c r="H46" s="294"/>
      <c r="I46" s="294"/>
      <c r="J46" s="294"/>
      <c r="K46" s="294"/>
      <c r="L46" s="294"/>
    </row>
    <row r="47" spans="1:12" ht="36" customHeight="1" x14ac:dyDescent="0.3">
      <c r="A47" s="144" t="s">
        <v>811</v>
      </c>
      <c r="B47" s="181" t="s">
        <v>772</v>
      </c>
      <c r="C47" s="49" t="s">
        <v>812</v>
      </c>
      <c r="D47" s="144" t="s">
        <v>587</v>
      </c>
      <c r="E47" s="179" t="s">
        <v>813</v>
      </c>
      <c r="F47" s="294" t="s">
        <v>814</v>
      </c>
      <c r="G47" s="294"/>
      <c r="H47" s="294"/>
      <c r="I47" s="294"/>
      <c r="J47" s="294"/>
      <c r="K47" s="294"/>
      <c r="L47" s="294"/>
    </row>
    <row r="50" spans="1:12" ht="18" customHeight="1" x14ac:dyDescent="0.3">
      <c r="A50" s="293" t="s">
        <v>815</v>
      </c>
      <c r="B50" s="293"/>
      <c r="C50" s="293"/>
      <c r="D50" s="293"/>
      <c r="E50" s="293"/>
      <c r="F50" s="293"/>
      <c r="G50" s="293"/>
      <c r="H50" s="293"/>
      <c r="I50" s="293"/>
      <c r="J50" s="293"/>
      <c r="K50" s="293"/>
      <c r="L50" s="293"/>
    </row>
    <row r="51" spans="1:12" ht="24" customHeight="1" x14ac:dyDescent="0.3">
      <c r="A51" s="42" t="s">
        <v>712</v>
      </c>
      <c r="B51" s="42" t="s">
        <v>547</v>
      </c>
      <c r="C51" s="42" t="s">
        <v>713</v>
      </c>
      <c r="D51" s="42" t="s">
        <v>550</v>
      </c>
      <c r="E51" s="42" t="s">
        <v>714</v>
      </c>
      <c r="F51" s="42" t="s">
        <v>715</v>
      </c>
      <c r="G51" s="42"/>
      <c r="H51" s="42"/>
      <c r="I51" s="42"/>
      <c r="J51" s="42"/>
      <c r="K51" s="42"/>
      <c r="L51" s="42"/>
    </row>
    <row r="52" spans="1:12" ht="36" customHeight="1" x14ac:dyDescent="0.3">
      <c r="A52" s="149" t="s">
        <v>816</v>
      </c>
      <c r="B52" s="7" t="s">
        <v>594</v>
      </c>
      <c r="C52" s="44" t="s">
        <v>817</v>
      </c>
      <c r="D52" s="149" t="s">
        <v>556</v>
      </c>
      <c r="E52" s="180" t="s">
        <v>818</v>
      </c>
      <c r="F52" s="294" t="s">
        <v>819</v>
      </c>
      <c r="G52" s="294"/>
      <c r="H52" s="294"/>
      <c r="I52" s="294"/>
      <c r="J52" s="294"/>
      <c r="K52" s="294"/>
      <c r="L52" s="294"/>
    </row>
    <row r="53" spans="1:12" ht="36" customHeight="1" x14ac:dyDescent="0.3">
      <c r="A53" s="144" t="s">
        <v>816</v>
      </c>
      <c r="B53" s="7" t="s">
        <v>594</v>
      </c>
      <c r="C53" s="49" t="s">
        <v>820</v>
      </c>
      <c r="D53" s="144" t="s">
        <v>602</v>
      </c>
      <c r="E53" s="179" t="s">
        <v>821</v>
      </c>
      <c r="F53" s="294" t="s">
        <v>822</v>
      </c>
      <c r="G53" s="294"/>
      <c r="H53" s="294"/>
      <c r="I53" s="294"/>
      <c r="J53" s="294"/>
      <c r="K53" s="294"/>
      <c r="L53" s="294"/>
    </row>
    <row r="54" spans="1:12" ht="36" customHeight="1" x14ac:dyDescent="0.3">
      <c r="A54" s="149" t="s">
        <v>823</v>
      </c>
      <c r="B54" s="7" t="s">
        <v>594</v>
      </c>
      <c r="C54" s="44" t="s">
        <v>824</v>
      </c>
      <c r="D54" s="149" t="s">
        <v>602</v>
      </c>
      <c r="E54" s="180" t="s">
        <v>825</v>
      </c>
      <c r="F54" s="294" t="s">
        <v>826</v>
      </c>
      <c r="G54" s="294"/>
      <c r="H54" s="294"/>
      <c r="I54" s="294"/>
      <c r="J54" s="294"/>
      <c r="K54" s="294"/>
      <c r="L54" s="294"/>
    </row>
    <row r="55" spans="1:12" ht="36" customHeight="1" x14ac:dyDescent="0.3">
      <c r="A55" s="144" t="s">
        <v>823</v>
      </c>
      <c r="B55" s="7" t="s">
        <v>594</v>
      </c>
      <c r="C55" s="49" t="s">
        <v>827</v>
      </c>
      <c r="D55" s="144" t="s">
        <v>602</v>
      </c>
      <c r="E55" s="179" t="s">
        <v>828</v>
      </c>
      <c r="F55" s="294" t="s">
        <v>829</v>
      </c>
      <c r="G55" s="294"/>
      <c r="H55" s="294"/>
      <c r="I55" s="294"/>
      <c r="J55" s="294"/>
      <c r="K55" s="294"/>
      <c r="L55" s="294"/>
    </row>
    <row r="56" spans="1:12" ht="36" customHeight="1" x14ac:dyDescent="0.3">
      <c r="A56" s="149" t="s">
        <v>830</v>
      </c>
      <c r="B56" s="7" t="s">
        <v>594</v>
      </c>
      <c r="C56" s="44" t="s">
        <v>831</v>
      </c>
      <c r="D56" s="149" t="s">
        <v>602</v>
      </c>
      <c r="E56" s="180" t="s">
        <v>832</v>
      </c>
      <c r="F56" s="294" t="s">
        <v>833</v>
      </c>
      <c r="G56" s="294"/>
      <c r="H56" s="294"/>
      <c r="I56" s="294"/>
      <c r="J56" s="294"/>
      <c r="K56" s="294"/>
      <c r="L56" s="294"/>
    </row>
    <row r="57" spans="1:12" ht="36" customHeight="1" x14ac:dyDescent="0.3">
      <c r="A57" s="144" t="s">
        <v>834</v>
      </c>
      <c r="B57" s="5" t="s">
        <v>765</v>
      </c>
      <c r="C57" s="49" t="s">
        <v>835</v>
      </c>
      <c r="D57" s="144" t="s">
        <v>836</v>
      </c>
      <c r="E57" s="179" t="s">
        <v>837</v>
      </c>
      <c r="F57" s="294" t="s">
        <v>838</v>
      </c>
      <c r="G57" s="294"/>
      <c r="H57" s="294"/>
      <c r="I57" s="294"/>
      <c r="J57" s="294"/>
      <c r="K57" s="294"/>
      <c r="L57" s="294"/>
    </row>
    <row r="58" spans="1:12" ht="36" customHeight="1" x14ac:dyDescent="0.3">
      <c r="A58" s="149" t="s">
        <v>834</v>
      </c>
      <c r="B58" s="181" t="s">
        <v>772</v>
      </c>
      <c r="C58" s="44" t="s">
        <v>839</v>
      </c>
      <c r="D58" s="149" t="s">
        <v>840</v>
      </c>
      <c r="E58" s="180" t="s">
        <v>841</v>
      </c>
      <c r="F58" s="294" t="s">
        <v>842</v>
      </c>
      <c r="G58" s="294"/>
      <c r="H58" s="294"/>
      <c r="I58" s="294"/>
      <c r="J58" s="294"/>
      <c r="K58" s="294"/>
      <c r="L58" s="294"/>
    </row>
    <row r="61" spans="1:12" ht="18" customHeight="1" x14ac:dyDescent="0.3">
      <c r="A61" s="251" t="s">
        <v>843</v>
      </c>
      <c r="B61" s="251"/>
      <c r="C61" s="251"/>
      <c r="D61" s="251"/>
      <c r="E61" s="251"/>
      <c r="F61" s="251"/>
      <c r="G61" s="251"/>
      <c r="H61" s="251"/>
      <c r="I61" s="251"/>
      <c r="J61" s="251"/>
      <c r="K61" s="251"/>
      <c r="L61" s="251"/>
    </row>
    <row r="62" spans="1:12" ht="24" customHeight="1" x14ac:dyDescent="0.3">
      <c r="A62" s="28" t="s">
        <v>712</v>
      </c>
      <c r="B62" s="28" t="s">
        <v>547</v>
      </c>
      <c r="C62" s="28" t="s">
        <v>713</v>
      </c>
      <c r="D62" s="28" t="s">
        <v>550</v>
      </c>
      <c r="E62" s="28" t="s">
        <v>714</v>
      </c>
      <c r="F62" s="28" t="s">
        <v>715</v>
      </c>
      <c r="G62" s="28"/>
      <c r="H62" s="28"/>
      <c r="I62" s="28"/>
      <c r="J62" s="28"/>
      <c r="K62" s="28"/>
      <c r="L62" s="28"/>
    </row>
    <row r="63" spans="1:12" ht="36" customHeight="1" x14ac:dyDescent="0.3">
      <c r="A63" s="144" t="s">
        <v>844</v>
      </c>
      <c r="B63" s="7" t="s">
        <v>594</v>
      </c>
      <c r="C63" s="49" t="s">
        <v>845</v>
      </c>
      <c r="D63" s="144" t="s">
        <v>556</v>
      </c>
      <c r="E63" s="179" t="s">
        <v>846</v>
      </c>
      <c r="F63" s="294" t="s">
        <v>847</v>
      </c>
      <c r="G63" s="294"/>
      <c r="H63" s="294"/>
      <c r="I63" s="294"/>
      <c r="J63" s="294"/>
      <c r="K63" s="294"/>
      <c r="L63" s="294"/>
    </row>
    <row r="64" spans="1:12" ht="36" customHeight="1" x14ac:dyDescent="0.3">
      <c r="A64" s="149" t="s">
        <v>844</v>
      </c>
      <c r="B64" s="7" t="s">
        <v>594</v>
      </c>
      <c r="C64" s="44" t="s">
        <v>848</v>
      </c>
      <c r="D64" s="149" t="s">
        <v>602</v>
      </c>
      <c r="E64" s="180" t="s">
        <v>849</v>
      </c>
      <c r="F64" s="294" t="s">
        <v>850</v>
      </c>
      <c r="G64" s="294"/>
      <c r="H64" s="294"/>
      <c r="I64" s="294"/>
      <c r="J64" s="294"/>
      <c r="K64" s="294"/>
      <c r="L64" s="294"/>
    </row>
    <row r="65" spans="1:12" ht="36" customHeight="1" x14ac:dyDescent="0.3">
      <c r="A65" s="144" t="s">
        <v>851</v>
      </c>
      <c r="B65" s="7" t="s">
        <v>594</v>
      </c>
      <c r="C65" s="49" t="s">
        <v>852</v>
      </c>
      <c r="D65" s="144" t="s">
        <v>602</v>
      </c>
      <c r="E65" s="179" t="s">
        <v>853</v>
      </c>
      <c r="F65" s="294" t="s">
        <v>854</v>
      </c>
      <c r="G65" s="294"/>
      <c r="H65" s="294"/>
      <c r="I65" s="294"/>
      <c r="J65" s="294"/>
      <c r="K65" s="294"/>
      <c r="L65" s="294"/>
    </row>
    <row r="66" spans="1:12" ht="36" customHeight="1" x14ac:dyDescent="0.3">
      <c r="A66" s="149" t="s">
        <v>851</v>
      </c>
      <c r="B66" s="7" t="s">
        <v>594</v>
      </c>
      <c r="C66" s="44" t="s">
        <v>855</v>
      </c>
      <c r="D66" s="149" t="s">
        <v>602</v>
      </c>
      <c r="E66" s="180" t="s">
        <v>856</v>
      </c>
      <c r="F66" s="294" t="s">
        <v>857</v>
      </c>
      <c r="G66" s="294"/>
      <c r="H66" s="294"/>
      <c r="I66" s="294"/>
      <c r="J66" s="294"/>
      <c r="K66" s="294"/>
      <c r="L66" s="294"/>
    </row>
    <row r="67" spans="1:12" ht="36" customHeight="1" x14ac:dyDescent="0.3">
      <c r="A67" s="144" t="s">
        <v>858</v>
      </c>
      <c r="B67" s="7" t="s">
        <v>594</v>
      </c>
      <c r="C67" s="49" t="s">
        <v>859</v>
      </c>
      <c r="D67" s="144" t="s">
        <v>602</v>
      </c>
      <c r="E67" s="179" t="s">
        <v>860</v>
      </c>
      <c r="F67" s="294" t="s">
        <v>861</v>
      </c>
      <c r="G67" s="294"/>
      <c r="H67" s="294"/>
      <c r="I67" s="294"/>
      <c r="J67" s="294"/>
      <c r="K67" s="294"/>
      <c r="L67" s="294"/>
    </row>
    <row r="68" spans="1:12" ht="36" customHeight="1" x14ac:dyDescent="0.3">
      <c r="A68" s="149" t="s">
        <v>858</v>
      </c>
      <c r="B68" s="7" t="s">
        <v>594</v>
      </c>
      <c r="C68" s="44" t="s">
        <v>862</v>
      </c>
      <c r="D68" s="149" t="s">
        <v>602</v>
      </c>
      <c r="E68" s="180" t="s">
        <v>863</v>
      </c>
      <c r="F68" s="294" t="s">
        <v>864</v>
      </c>
      <c r="G68" s="294"/>
      <c r="H68" s="294"/>
      <c r="I68" s="294"/>
      <c r="J68" s="294"/>
      <c r="K68" s="294"/>
      <c r="L68" s="294"/>
    </row>
    <row r="69" spans="1:12" ht="36" customHeight="1" x14ac:dyDescent="0.3">
      <c r="A69" s="144" t="s">
        <v>865</v>
      </c>
      <c r="B69" s="5" t="s">
        <v>765</v>
      </c>
      <c r="C69" s="49" t="s">
        <v>866</v>
      </c>
      <c r="D69" s="144" t="s">
        <v>867</v>
      </c>
      <c r="E69" s="179" t="s">
        <v>868</v>
      </c>
      <c r="F69" s="294" t="s">
        <v>869</v>
      </c>
      <c r="G69" s="294"/>
      <c r="H69" s="294"/>
      <c r="I69" s="294"/>
      <c r="J69" s="294"/>
      <c r="K69" s="294"/>
      <c r="L69" s="294"/>
    </row>
    <row r="70" spans="1:12" ht="36" customHeight="1" x14ac:dyDescent="0.3">
      <c r="A70" s="149" t="s">
        <v>865</v>
      </c>
      <c r="B70" s="181" t="s">
        <v>772</v>
      </c>
      <c r="C70" s="44" t="s">
        <v>870</v>
      </c>
      <c r="D70" s="149" t="s">
        <v>587</v>
      </c>
      <c r="E70" s="180" t="s">
        <v>871</v>
      </c>
      <c r="F70" s="294" t="s">
        <v>872</v>
      </c>
      <c r="G70" s="294"/>
      <c r="H70" s="294"/>
      <c r="I70" s="294"/>
      <c r="J70" s="294"/>
      <c r="K70" s="294"/>
      <c r="L70" s="294"/>
    </row>
    <row r="73" spans="1:12" ht="18" customHeight="1" x14ac:dyDescent="0.3">
      <c r="A73" s="286" t="s">
        <v>873</v>
      </c>
      <c r="B73" s="286"/>
      <c r="C73" s="286"/>
      <c r="D73" s="286"/>
      <c r="E73" s="286"/>
      <c r="F73" s="286"/>
      <c r="G73" s="286"/>
      <c r="H73" s="286"/>
      <c r="I73" s="286"/>
      <c r="J73" s="286"/>
      <c r="K73" s="286"/>
      <c r="L73" s="286"/>
    </row>
    <row r="74" spans="1:12" ht="24" customHeight="1" x14ac:dyDescent="0.3">
      <c r="A74" s="41" t="s">
        <v>712</v>
      </c>
      <c r="B74" s="41" t="s">
        <v>547</v>
      </c>
      <c r="C74" s="41" t="s">
        <v>713</v>
      </c>
      <c r="D74" s="41" t="s">
        <v>550</v>
      </c>
      <c r="E74" s="41" t="s">
        <v>714</v>
      </c>
      <c r="F74" s="41" t="s">
        <v>715</v>
      </c>
      <c r="G74" s="41"/>
      <c r="H74" s="41"/>
      <c r="I74" s="41"/>
      <c r="J74" s="41"/>
      <c r="K74" s="41"/>
      <c r="L74" s="41"/>
    </row>
    <row r="75" spans="1:12" ht="36" customHeight="1" x14ac:dyDescent="0.3">
      <c r="A75" s="144" t="s">
        <v>874</v>
      </c>
      <c r="B75" s="181" t="s">
        <v>772</v>
      </c>
      <c r="C75" s="49" t="s">
        <v>875</v>
      </c>
      <c r="D75" s="144" t="s">
        <v>556</v>
      </c>
      <c r="E75" s="179" t="s">
        <v>876</v>
      </c>
      <c r="F75" s="294" t="s">
        <v>877</v>
      </c>
      <c r="G75" s="294"/>
      <c r="H75" s="294"/>
      <c r="I75" s="294"/>
      <c r="J75" s="294"/>
      <c r="K75" s="294"/>
      <c r="L75" s="294"/>
    </row>
    <row r="76" spans="1:12" ht="36" customHeight="1" x14ac:dyDescent="0.3">
      <c r="A76" s="149" t="s">
        <v>874</v>
      </c>
      <c r="B76" s="181" t="s">
        <v>772</v>
      </c>
      <c r="C76" s="44" t="s">
        <v>878</v>
      </c>
      <c r="D76" s="149" t="s">
        <v>602</v>
      </c>
      <c r="E76" s="180" t="s">
        <v>879</v>
      </c>
      <c r="F76" s="294" t="s">
        <v>880</v>
      </c>
      <c r="G76" s="294"/>
      <c r="H76" s="294"/>
      <c r="I76" s="294"/>
      <c r="J76" s="294"/>
      <c r="K76" s="294"/>
      <c r="L76" s="294"/>
    </row>
    <row r="77" spans="1:12" ht="36" customHeight="1" x14ac:dyDescent="0.3">
      <c r="A77" s="144" t="s">
        <v>874</v>
      </c>
      <c r="B77" s="8" t="s">
        <v>616</v>
      </c>
      <c r="C77" s="49" t="s">
        <v>881</v>
      </c>
      <c r="D77" s="144" t="s">
        <v>882</v>
      </c>
      <c r="E77" s="179" t="s">
        <v>883</v>
      </c>
      <c r="F77" s="294" t="s">
        <v>884</v>
      </c>
      <c r="G77" s="294"/>
      <c r="H77" s="294"/>
      <c r="I77" s="294"/>
      <c r="J77" s="294"/>
      <c r="K77" s="294"/>
      <c r="L77" s="294"/>
    </row>
    <row r="78" spans="1:12" ht="36" customHeight="1" x14ac:dyDescent="0.3">
      <c r="A78" s="149" t="s">
        <v>885</v>
      </c>
      <c r="B78" s="8" t="s">
        <v>616</v>
      </c>
      <c r="C78" s="44" t="s">
        <v>886</v>
      </c>
      <c r="D78" s="149" t="s">
        <v>887</v>
      </c>
      <c r="E78" s="180" t="s">
        <v>888</v>
      </c>
      <c r="F78" s="294" t="s">
        <v>889</v>
      </c>
      <c r="G78" s="294"/>
      <c r="H78" s="294"/>
      <c r="I78" s="294"/>
      <c r="J78" s="294"/>
      <c r="K78" s="294"/>
      <c r="L78" s="294"/>
    </row>
    <row r="79" spans="1:12" ht="36" customHeight="1" x14ac:dyDescent="0.3">
      <c r="A79" s="144" t="s">
        <v>885</v>
      </c>
      <c r="B79" s="181" t="s">
        <v>890</v>
      </c>
      <c r="C79" s="49" t="s">
        <v>891</v>
      </c>
      <c r="D79" s="144" t="s">
        <v>556</v>
      </c>
      <c r="E79" s="179" t="s">
        <v>892</v>
      </c>
      <c r="F79" s="294" t="s">
        <v>893</v>
      </c>
      <c r="G79" s="294"/>
      <c r="H79" s="294"/>
      <c r="I79" s="294"/>
      <c r="J79" s="294"/>
      <c r="K79" s="294"/>
      <c r="L79" s="294"/>
    </row>
    <row r="80" spans="1:12" ht="36" customHeight="1" x14ac:dyDescent="0.3">
      <c r="A80" s="149" t="s">
        <v>885</v>
      </c>
      <c r="B80" s="181" t="s">
        <v>890</v>
      </c>
      <c r="C80" s="44" t="s">
        <v>894</v>
      </c>
      <c r="D80" s="149" t="s">
        <v>560</v>
      </c>
      <c r="E80" s="180" t="s">
        <v>895</v>
      </c>
      <c r="F80" s="294" t="s">
        <v>896</v>
      </c>
      <c r="G80" s="294"/>
      <c r="H80" s="294"/>
      <c r="I80" s="294"/>
      <c r="J80" s="294"/>
      <c r="K80" s="294"/>
      <c r="L80" s="294"/>
    </row>
    <row r="81" spans="1:12" ht="36" customHeight="1" x14ac:dyDescent="0.3">
      <c r="A81" s="144" t="s">
        <v>897</v>
      </c>
      <c r="B81" s="181" t="s">
        <v>734</v>
      </c>
      <c r="C81" s="49" t="s">
        <v>898</v>
      </c>
      <c r="D81" s="144" t="s">
        <v>560</v>
      </c>
      <c r="E81" s="179" t="s">
        <v>899</v>
      </c>
      <c r="F81" s="294" t="s">
        <v>900</v>
      </c>
      <c r="G81" s="294"/>
      <c r="H81" s="294"/>
      <c r="I81" s="294"/>
      <c r="J81" s="294"/>
      <c r="K81" s="294"/>
      <c r="L81" s="294"/>
    </row>
    <row r="82" spans="1:12" ht="36" customHeight="1" x14ac:dyDescent="0.3">
      <c r="A82" s="149" t="s">
        <v>901</v>
      </c>
      <c r="B82" s="181" t="s">
        <v>902</v>
      </c>
      <c r="C82" s="44" t="s">
        <v>903</v>
      </c>
      <c r="D82" s="149" t="s">
        <v>569</v>
      </c>
      <c r="E82" s="180" t="s">
        <v>904</v>
      </c>
      <c r="F82" s="294" t="s">
        <v>905</v>
      </c>
      <c r="G82" s="294"/>
      <c r="H82" s="294"/>
      <c r="I82" s="294"/>
      <c r="J82" s="294"/>
      <c r="K82" s="294"/>
      <c r="L82" s="294"/>
    </row>
  </sheetData>
  <mergeCells count="57">
    <mergeCell ref="A1:L1"/>
    <mergeCell ref="A2:L2"/>
    <mergeCell ref="A4:L4"/>
    <mergeCell ref="A13:L13"/>
    <mergeCell ref="F15:L15"/>
    <mergeCell ref="F16:L16"/>
    <mergeCell ref="F17:L17"/>
    <mergeCell ref="F18:L18"/>
    <mergeCell ref="F19:L19"/>
    <mergeCell ref="F20:L20"/>
    <mergeCell ref="F21:L21"/>
    <mergeCell ref="F22:L22"/>
    <mergeCell ref="F23:L23"/>
    <mergeCell ref="F24:L24"/>
    <mergeCell ref="A27:L27"/>
    <mergeCell ref="F29:L29"/>
    <mergeCell ref="F30:L30"/>
    <mergeCell ref="F31:L31"/>
    <mergeCell ref="F32:L32"/>
    <mergeCell ref="F33:L33"/>
    <mergeCell ref="F34:L34"/>
    <mergeCell ref="F35:L35"/>
    <mergeCell ref="A38:L38"/>
    <mergeCell ref="F40:L40"/>
    <mergeCell ref="F41:L41"/>
    <mergeCell ref="F42:L42"/>
    <mergeCell ref="F43:L43"/>
    <mergeCell ref="F44:L44"/>
    <mergeCell ref="F45:L45"/>
    <mergeCell ref="F46:L46"/>
    <mergeCell ref="F47:L47"/>
    <mergeCell ref="A50:L50"/>
    <mergeCell ref="F52:L52"/>
    <mergeCell ref="F53:L53"/>
    <mergeCell ref="F54:L54"/>
    <mergeCell ref="F55:L55"/>
    <mergeCell ref="F56:L56"/>
    <mergeCell ref="F57:L57"/>
    <mergeCell ref="F58:L58"/>
    <mergeCell ref="A61:L61"/>
    <mergeCell ref="F63:L63"/>
    <mergeCell ref="F64:L64"/>
    <mergeCell ref="F65:L65"/>
    <mergeCell ref="F66:L66"/>
    <mergeCell ref="F67:L67"/>
    <mergeCell ref="F68:L68"/>
    <mergeCell ref="F69:L69"/>
    <mergeCell ref="F70:L70"/>
    <mergeCell ref="A73:L73"/>
    <mergeCell ref="F75:L75"/>
    <mergeCell ref="F81:L81"/>
    <mergeCell ref="F82:L82"/>
    <mergeCell ref="F76:L76"/>
    <mergeCell ref="F77:L77"/>
    <mergeCell ref="F78:L78"/>
    <mergeCell ref="F79:L79"/>
    <mergeCell ref="F80:L8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2"/>
  <sheetViews>
    <sheetView showGridLines="0" tabSelected="1" zoomScaleNormal="100" workbookViewId="0">
      <selection sqref="A1:I1"/>
    </sheetView>
  </sheetViews>
  <sheetFormatPr defaultColWidth="8.6640625" defaultRowHeight="14.4" x14ac:dyDescent="0.3"/>
  <cols>
    <col min="1" max="1" width="29.88671875" customWidth="1"/>
    <col min="2" max="2" width="16" customWidth="1"/>
    <col min="3" max="6" width="22" customWidth="1"/>
    <col min="7" max="7" width="31.88671875" customWidth="1"/>
    <col min="8" max="8" width="18" customWidth="1"/>
    <col min="9" max="12" width="50" customWidth="1"/>
  </cols>
  <sheetData>
    <row r="1" spans="1:12" ht="27.75" customHeight="1" x14ac:dyDescent="0.3">
      <c r="A1" s="239" t="s">
        <v>906</v>
      </c>
      <c r="B1" s="239"/>
      <c r="C1" s="239"/>
      <c r="D1" s="239"/>
      <c r="E1" s="239"/>
      <c r="F1" s="239"/>
      <c r="G1" s="239"/>
      <c r="H1" s="239"/>
      <c r="I1" s="239"/>
      <c r="J1" s="62"/>
      <c r="K1" s="62"/>
      <c r="L1" s="62"/>
    </row>
    <row r="2" spans="1:12" ht="15.75" customHeight="1" x14ac:dyDescent="0.3">
      <c r="A2" s="240" t="s">
        <v>907</v>
      </c>
      <c r="B2" s="240"/>
      <c r="C2" s="240"/>
      <c r="D2" s="240"/>
      <c r="E2" s="240"/>
      <c r="F2" s="240"/>
      <c r="G2" s="240"/>
      <c r="H2" s="240"/>
      <c r="I2" s="240"/>
      <c r="J2" s="62"/>
      <c r="K2" s="62"/>
      <c r="L2" s="62"/>
    </row>
    <row r="3" spans="1:12" ht="15" customHeight="1" x14ac:dyDescent="0.3">
      <c r="A3" s="62"/>
      <c r="B3" s="62"/>
      <c r="C3" s="62"/>
      <c r="D3" s="62"/>
      <c r="E3" s="62"/>
      <c r="F3" s="62"/>
      <c r="G3" s="62"/>
      <c r="H3" s="62"/>
      <c r="I3" s="62"/>
      <c r="J3" s="62"/>
      <c r="K3" s="62"/>
      <c r="L3" s="62"/>
    </row>
    <row r="4" spans="1:12" ht="18" customHeight="1" x14ac:dyDescent="0.3">
      <c r="A4" s="241" t="s">
        <v>908</v>
      </c>
      <c r="B4" s="241"/>
      <c r="C4" s="241"/>
      <c r="D4" s="241"/>
      <c r="E4" s="241"/>
      <c r="F4" s="241"/>
      <c r="G4" s="241"/>
      <c r="H4" s="241"/>
      <c r="I4" s="241"/>
      <c r="J4" s="62"/>
      <c r="K4" s="62"/>
      <c r="L4" s="62"/>
    </row>
    <row r="5" spans="1:12" ht="29.4" customHeight="1" x14ac:dyDescent="0.3">
      <c r="A5" s="3" t="s">
        <v>909</v>
      </c>
      <c r="B5" s="82">
        <f>Assumptions!C65</f>
        <v>10716.34</v>
      </c>
      <c r="C5" s="238" t="s">
        <v>910</v>
      </c>
      <c r="D5" s="238"/>
      <c r="E5" s="238"/>
      <c r="F5" s="238"/>
      <c r="G5" s="238"/>
      <c r="H5" s="238"/>
      <c r="I5" s="238"/>
      <c r="J5" s="80"/>
      <c r="K5" s="80"/>
      <c r="L5" s="80"/>
    </row>
    <row r="6" spans="1:12" ht="52.8" customHeight="1" x14ac:dyDescent="0.3">
      <c r="A6" s="3" t="s">
        <v>911</v>
      </c>
      <c r="B6" s="87">
        <f>Assumptions!C66</f>
        <v>24806.78</v>
      </c>
      <c r="C6" s="242" t="s">
        <v>912</v>
      </c>
      <c r="D6" s="242"/>
      <c r="E6" s="242"/>
      <c r="F6" s="242"/>
      <c r="G6" s="242"/>
      <c r="H6" s="242"/>
      <c r="I6" s="242"/>
      <c r="J6" s="62"/>
      <c r="K6" s="62"/>
      <c r="L6" s="62"/>
    </row>
    <row r="7" spans="1:12" ht="50.4" customHeight="1" x14ac:dyDescent="0.3">
      <c r="A7" s="3" t="s">
        <v>913</v>
      </c>
      <c r="B7" s="182">
        <f>Assumptions!C65+Assumptions!C66+Assumptions!C67</f>
        <v>38523.119999999995</v>
      </c>
      <c r="C7" s="235" t="s">
        <v>914</v>
      </c>
      <c r="D7" s="235"/>
      <c r="E7" s="235"/>
      <c r="F7" s="235"/>
      <c r="G7" s="235"/>
      <c r="H7" s="235"/>
      <c r="I7" s="235"/>
      <c r="J7" s="62"/>
      <c r="K7" s="62"/>
      <c r="L7" s="62"/>
    </row>
    <row r="8" spans="1:12" ht="50.4" customHeight="1" x14ac:dyDescent="0.3">
      <c r="A8" s="3" t="s">
        <v>915</v>
      </c>
      <c r="B8" s="87">
        <f>'Cost Comparison'!B39</f>
        <v>2291.1037687331</v>
      </c>
      <c r="C8" s="236" t="s">
        <v>916</v>
      </c>
      <c r="D8" s="236"/>
      <c r="E8" s="236"/>
      <c r="F8" s="236"/>
      <c r="G8" s="236"/>
      <c r="H8" s="236"/>
      <c r="I8" s="236"/>
      <c r="J8" s="62"/>
      <c r="K8" s="62"/>
      <c r="L8" s="62"/>
    </row>
    <row r="9" spans="1:12" ht="41.4" customHeight="1" x14ac:dyDescent="0.3">
      <c r="A9" s="3" t="s">
        <v>917</v>
      </c>
      <c r="B9" s="82">
        <f>'Migration Plan &amp; Costs'!C60</f>
        <v>45110.281299699003</v>
      </c>
      <c r="C9" s="237" t="s">
        <v>918</v>
      </c>
      <c r="D9" s="237"/>
      <c r="E9" s="237"/>
      <c r="F9" s="237"/>
      <c r="G9" s="237"/>
      <c r="H9" s="237"/>
      <c r="I9" s="237"/>
      <c r="J9" s="62"/>
      <c r="K9" s="62"/>
      <c r="L9" s="62"/>
    </row>
    <row r="10" spans="1:12" ht="41.4" customHeight="1" x14ac:dyDescent="0.3">
      <c r="A10" s="3" t="s">
        <v>919</v>
      </c>
      <c r="B10" s="87">
        <f>SUM(F30:F35)</f>
        <v>86843</v>
      </c>
      <c r="C10" s="236" t="s">
        <v>920</v>
      </c>
      <c r="D10" s="236"/>
      <c r="E10" s="236"/>
      <c r="F10" s="236"/>
      <c r="G10" s="236"/>
      <c r="H10" s="236"/>
      <c r="I10" s="236"/>
      <c r="J10" s="62"/>
      <c r="K10" s="62"/>
      <c r="L10" s="62"/>
    </row>
    <row r="11" spans="1:12" ht="35.4" customHeight="1" x14ac:dyDescent="0.3">
      <c r="A11" s="3" t="s">
        <v>211</v>
      </c>
      <c r="B11" s="71">
        <f>Assumptions!C64</f>
        <v>0.05</v>
      </c>
      <c r="C11" s="238" t="s">
        <v>921</v>
      </c>
      <c r="D11" s="238"/>
      <c r="E11" s="238"/>
      <c r="F11" s="238"/>
      <c r="G11" s="238"/>
      <c r="H11" s="238"/>
      <c r="I11" s="238"/>
      <c r="J11" s="62"/>
      <c r="K11" s="62"/>
      <c r="L11" s="62"/>
    </row>
    <row r="12" spans="1:12" ht="41.4" customHeight="1" x14ac:dyDescent="0.3">
      <c r="A12" s="7" t="s">
        <v>922</v>
      </c>
      <c r="B12" s="135">
        <f>B7-B8</f>
        <v>36232.016231266898</v>
      </c>
      <c r="C12" s="232" t="s">
        <v>923</v>
      </c>
      <c r="D12" s="232"/>
      <c r="E12" s="232"/>
      <c r="F12" s="232"/>
      <c r="G12" s="232"/>
      <c r="H12" s="232"/>
      <c r="I12" s="232"/>
      <c r="J12" s="62"/>
      <c r="K12" s="62"/>
      <c r="L12" s="62"/>
    </row>
    <row r="13" spans="1:12" ht="36.6" customHeight="1" x14ac:dyDescent="0.3">
      <c r="A13" s="7" t="s">
        <v>924</v>
      </c>
      <c r="B13" s="184">
        <f>(SUM(F18:F23)+SUM(D18:D23)+SUM(F30:F35))/B12</f>
        <v>4.1540282781755993</v>
      </c>
      <c r="C13" s="232" t="s">
        <v>925</v>
      </c>
      <c r="D13" s="232"/>
      <c r="E13" s="232"/>
      <c r="F13" s="232"/>
      <c r="G13" s="232"/>
      <c r="H13" s="232"/>
      <c r="I13" s="232"/>
      <c r="J13" s="62"/>
      <c r="K13" s="62"/>
      <c r="L13" s="62"/>
    </row>
    <row r="14" spans="1:12" ht="48" customHeight="1" x14ac:dyDescent="0.3">
      <c r="A14" s="90"/>
      <c r="B14" s="185"/>
      <c r="C14" s="185"/>
      <c r="D14" s="185"/>
      <c r="E14" s="185"/>
      <c r="F14" s="185"/>
      <c r="G14" s="185"/>
      <c r="H14" s="186"/>
      <c r="I14" s="62"/>
      <c r="J14" s="62"/>
      <c r="K14" s="62"/>
      <c r="L14" s="62"/>
    </row>
    <row r="15" spans="1:12" ht="19.5" customHeight="1" x14ac:dyDescent="0.3">
      <c r="A15" s="233" t="s">
        <v>926</v>
      </c>
      <c r="B15" s="233"/>
      <c r="C15" s="233"/>
      <c r="D15" s="233"/>
      <c r="E15" s="233"/>
      <c r="F15" s="233"/>
      <c r="G15" s="233"/>
      <c r="H15" s="233"/>
      <c r="I15" s="233"/>
      <c r="J15" s="80"/>
      <c r="K15" s="80"/>
      <c r="L15" s="80"/>
    </row>
    <row r="16" spans="1:12" ht="19.5" customHeight="1" x14ac:dyDescent="0.3">
      <c r="A16" s="234" t="s">
        <v>927</v>
      </c>
      <c r="B16" s="234"/>
      <c r="C16" s="234"/>
      <c r="D16" s="234"/>
      <c r="E16" s="234"/>
      <c r="F16" s="234"/>
      <c r="G16" s="234"/>
      <c r="H16" s="234"/>
      <c r="I16" s="234"/>
      <c r="J16" s="80"/>
      <c r="K16" s="85"/>
      <c r="L16" s="85"/>
    </row>
    <row r="17" spans="1:12" ht="51.75" customHeight="1" x14ac:dyDescent="0.3">
      <c r="A17" s="187" t="s">
        <v>3</v>
      </c>
      <c r="B17" s="1" t="s">
        <v>928</v>
      </c>
      <c r="C17" s="102" t="s">
        <v>929</v>
      </c>
      <c r="D17" s="102" t="s">
        <v>930</v>
      </c>
      <c r="E17" s="102" t="s">
        <v>931</v>
      </c>
      <c r="F17" s="102" t="s">
        <v>932</v>
      </c>
      <c r="G17" s="102" t="s">
        <v>933</v>
      </c>
      <c r="H17" s="102" t="s">
        <v>934</v>
      </c>
      <c r="I17" s="102" t="s">
        <v>935</v>
      </c>
      <c r="J17" s="80"/>
      <c r="K17" s="85"/>
      <c r="L17" s="85"/>
    </row>
    <row r="18" spans="1:12" ht="51.75" customHeight="1" x14ac:dyDescent="0.3">
      <c r="A18" s="188">
        <v>1</v>
      </c>
      <c r="B18" s="149" t="s">
        <v>936</v>
      </c>
      <c r="C18" s="75">
        <v>38523.120000000003</v>
      </c>
      <c r="D18" s="189">
        <v>835.02</v>
      </c>
      <c r="E18" s="190">
        <f t="shared" ref="E18:E23" si="0">C18+D18+F18</f>
        <v>49598.8</v>
      </c>
      <c r="F18" s="191">
        <v>10240.66</v>
      </c>
      <c r="G18" s="183" t="s">
        <v>937</v>
      </c>
      <c r="H18" s="192">
        <f t="shared" ref="H18:H23" si="1">38523.12-C18-D18</f>
        <v>-835.02</v>
      </c>
      <c r="I18" s="192">
        <f>-SUM(D18:D18)-SUM(F18:F18)</f>
        <v>-11075.68</v>
      </c>
      <c r="J18" s="80"/>
      <c r="K18" s="85"/>
      <c r="L18" s="85"/>
    </row>
    <row r="19" spans="1:12" ht="51.75" customHeight="1" x14ac:dyDescent="0.3">
      <c r="A19" s="193">
        <v>2</v>
      </c>
      <c r="B19" s="144" t="s">
        <v>938</v>
      </c>
      <c r="C19" s="75">
        <v>38523.120000000003</v>
      </c>
      <c r="D19" s="189">
        <v>1498.55</v>
      </c>
      <c r="E19" s="190">
        <f t="shared" si="0"/>
        <v>47014.670000000006</v>
      </c>
      <c r="F19" s="191">
        <v>6993</v>
      </c>
      <c r="G19" s="194" t="s">
        <v>939</v>
      </c>
      <c r="H19" s="192">
        <f t="shared" si="1"/>
        <v>-1498.55</v>
      </c>
      <c r="I19" s="192">
        <f>-SUM(D18:D19)-SUM(F18:F19)</f>
        <v>-19567.23</v>
      </c>
      <c r="J19" s="80"/>
      <c r="K19" s="85"/>
      <c r="L19" s="85"/>
    </row>
    <row r="20" spans="1:12" ht="51.75" customHeight="1" x14ac:dyDescent="0.3">
      <c r="A20" s="188">
        <v>3</v>
      </c>
      <c r="B20" s="149" t="s">
        <v>940</v>
      </c>
      <c r="C20" s="75">
        <v>38523.120000000003</v>
      </c>
      <c r="D20" s="189">
        <v>2194.34</v>
      </c>
      <c r="E20" s="190">
        <f t="shared" si="0"/>
        <v>52005.790000000008</v>
      </c>
      <c r="F20" s="191">
        <v>11288.33</v>
      </c>
      <c r="G20" s="183" t="s">
        <v>939</v>
      </c>
      <c r="H20" s="192">
        <f t="shared" si="1"/>
        <v>-2194.34</v>
      </c>
      <c r="I20" s="192">
        <f>-SUM(D18:D20)-SUM(F18:F20)</f>
        <v>-33049.899999999994</v>
      </c>
      <c r="J20" s="80"/>
      <c r="K20" s="85"/>
      <c r="L20" s="85"/>
    </row>
    <row r="21" spans="1:12" ht="51.75" customHeight="1" x14ac:dyDescent="0.3">
      <c r="A21" s="193">
        <v>4</v>
      </c>
      <c r="B21" s="144" t="s">
        <v>941</v>
      </c>
      <c r="C21" s="195">
        <v>36314.79</v>
      </c>
      <c r="D21" s="47">
        <v>2258.85</v>
      </c>
      <c r="E21" s="190">
        <f t="shared" si="0"/>
        <v>48044.3</v>
      </c>
      <c r="F21" s="191">
        <v>9470.66</v>
      </c>
      <c r="G21" s="194" t="s">
        <v>942</v>
      </c>
      <c r="H21" s="192">
        <f t="shared" si="1"/>
        <v>-50.519999999998163</v>
      </c>
      <c r="I21" s="192">
        <f>-SUM(D18:D21)-SUM(F18:F21)</f>
        <v>-44779.409999999996</v>
      </c>
      <c r="J21" s="80"/>
      <c r="K21" s="85"/>
      <c r="L21" s="85"/>
    </row>
    <row r="22" spans="1:12" ht="51.75" customHeight="1" x14ac:dyDescent="0.3">
      <c r="A22" s="188">
        <v>5</v>
      </c>
      <c r="B22" s="149" t="s">
        <v>943</v>
      </c>
      <c r="C22" s="195">
        <v>28633.49</v>
      </c>
      <c r="D22" s="47">
        <v>2284.65</v>
      </c>
      <c r="E22" s="190">
        <f t="shared" si="0"/>
        <v>37612.54</v>
      </c>
      <c r="F22" s="191">
        <v>6694.4</v>
      </c>
      <c r="G22" s="67" t="s">
        <v>944</v>
      </c>
      <c r="H22" s="196">
        <f t="shared" si="1"/>
        <v>7604.9800000000014</v>
      </c>
      <c r="I22" s="192">
        <f>-SUM(D18:D22)-SUM(F18:F22)</f>
        <v>-53758.459999999992</v>
      </c>
      <c r="J22" s="80"/>
      <c r="K22" s="85"/>
      <c r="L22" s="85"/>
    </row>
    <row r="23" spans="1:12" ht="51.75" customHeight="1" x14ac:dyDescent="0.3">
      <c r="A23" s="193">
        <v>6</v>
      </c>
      <c r="B23" s="144" t="s">
        <v>945</v>
      </c>
      <c r="C23" s="195">
        <v>28806.78</v>
      </c>
      <c r="D23" s="47">
        <v>2291.1</v>
      </c>
      <c r="E23" s="190">
        <f t="shared" si="0"/>
        <v>38714.14</v>
      </c>
      <c r="F23" s="191">
        <v>7616.26</v>
      </c>
      <c r="G23" s="194" t="s">
        <v>946</v>
      </c>
      <c r="H23" s="196">
        <f t="shared" si="1"/>
        <v>7425.2400000000034</v>
      </c>
      <c r="I23" s="197">
        <f>-SUM(D18:D23)-SUM(F18:F23)</f>
        <v>-63665.82</v>
      </c>
      <c r="J23" s="80"/>
      <c r="K23" s="85"/>
      <c r="L23" s="85"/>
    </row>
    <row r="24" spans="1:12" ht="24" customHeight="1" x14ac:dyDescent="0.3">
      <c r="A24" s="198" t="s">
        <v>947</v>
      </c>
      <c r="B24" s="119" t="s">
        <v>948</v>
      </c>
      <c r="C24" s="199">
        <f>SUM(C18:C23)</f>
        <v>209324.42</v>
      </c>
      <c r="D24" s="199">
        <f>SUM(D18:D23)</f>
        <v>11362.51</v>
      </c>
      <c r="E24" s="199">
        <f>SUM(E18:E23)</f>
        <v>272990.24</v>
      </c>
      <c r="F24" s="200">
        <f>SUM(F18:F23)</f>
        <v>52303.31</v>
      </c>
      <c r="G24" s="119" t="s">
        <v>949</v>
      </c>
      <c r="H24" s="199">
        <f>SUM(H18:H23)</f>
        <v>10451.790000000006</v>
      </c>
      <c r="I24" s="200">
        <f>I23</f>
        <v>-63665.82</v>
      </c>
      <c r="J24" s="80"/>
      <c r="K24" s="85"/>
      <c r="L24" s="85"/>
    </row>
    <row r="25" spans="1:12" ht="19.5" customHeight="1" x14ac:dyDescent="0.3">
      <c r="A25" s="228" t="s">
        <v>950</v>
      </c>
      <c r="B25" s="228"/>
      <c r="C25" s="228"/>
      <c r="D25" s="228"/>
      <c r="E25" s="228"/>
      <c r="F25" s="228"/>
      <c r="G25" s="228"/>
      <c r="H25" s="228"/>
      <c r="I25" s="228"/>
      <c r="J25" s="80"/>
      <c r="K25" s="85"/>
      <c r="L25" s="85"/>
    </row>
    <row r="26" spans="1:12" ht="36" customHeight="1" x14ac:dyDescent="0.3">
      <c r="A26" s="90"/>
      <c r="B26" s="185"/>
      <c r="C26" s="185"/>
      <c r="D26" s="185"/>
      <c r="E26" s="185"/>
      <c r="F26" s="185"/>
      <c r="G26" s="185"/>
      <c r="H26" s="186"/>
      <c r="I26" s="85"/>
      <c r="J26" s="80"/>
      <c r="K26" s="85"/>
      <c r="L26" s="85"/>
    </row>
    <row r="27" spans="1:12" ht="21.75" customHeight="1" x14ac:dyDescent="0.3">
      <c r="A27" s="227" t="s">
        <v>951</v>
      </c>
      <c r="B27" s="227"/>
      <c r="C27" s="227"/>
      <c r="D27" s="227"/>
      <c r="E27" s="227"/>
      <c r="F27" s="227"/>
      <c r="G27" s="227"/>
      <c r="H27" s="227"/>
      <c r="I27" s="227"/>
      <c r="J27" s="80"/>
      <c r="K27" s="85"/>
      <c r="L27" s="85"/>
    </row>
    <row r="28" spans="1:12" ht="27.75" customHeight="1" x14ac:dyDescent="0.3">
      <c r="A28" s="228" t="s">
        <v>952</v>
      </c>
      <c r="B28" s="228"/>
      <c r="C28" s="228"/>
      <c r="D28" s="228"/>
      <c r="E28" s="228"/>
      <c r="F28" s="228"/>
      <c r="G28" s="228"/>
      <c r="H28" s="228"/>
      <c r="I28" s="228"/>
      <c r="J28" s="80"/>
      <c r="K28" s="85"/>
      <c r="L28" s="85"/>
    </row>
    <row r="29" spans="1:12" ht="51.75" customHeight="1" x14ac:dyDescent="0.3">
      <c r="A29" s="201" t="s">
        <v>3</v>
      </c>
      <c r="B29" s="138" t="s">
        <v>928</v>
      </c>
      <c r="C29" s="146" t="s">
        <v>953</v>
      </c>
      <c r="D29" s="146" t="s">
        <v>954</v>
      </c>
      <c r="E29" s="146" t="s">
        <v>931</v>
      </c>
      <c r="F29" s="146" t="s">
        <v>955</v>
      </c>
      <c r="G29" s="146" t="s">
        <v>956</v>
      </c>
      <c r="H29" s="146" t="s">
        <v>934</v>
      </c>
      <c r="I29" s="146" t="s">
        <v>957</v>
      </c>
      <c r="J29" s="80"/>
      <c r="K29" s="85"/>
      <c r="L29" s="85"/>
    </row>
    <row r="30" spans="1:12" ht="43.5" customHeight="1" x14ac:dyDescent="0.3">
      <c r="A30" s="188">
        <v>7</v>
      </c>
      <c r="B30" s="149" t="s">
        <v>530</v>
      </c>
      <c r="C30" s="141">
        <v>16743.52</v>
      </c>
      <c r="D30" s="47">
        <f>B8</f>
        <v>2291.1037687331</v>
      </c>
      <c r="E30" s="190">
        <f t="shared" ref="E30:E35" si="2">C30+D30+F30</f>
        <v>55722.623768733101</v>
      </c>
      <c r="F30" s="191">
        <v>36688</v>
      </c>
      <c r="G30" s="202" t="s">
        <v>958</v>
      </c>
      <c r="H30" s="135">
        <f t="shared" ref="H30:H35" si="3">38523.12-C30-D30</f>
        <v>19488.496231266901</v>
      </c>
      <c r="I30" s="192">
        <f>I24+H30-F30</f>
        <v>-80865.323768733098</v>
      </c>
      <c r="J30" s="80"/>
      <c r="K30" s="85"/>
      <c r="L30" s="85"/>
    </row>
    <row r="31" spans="1:12" ht="43.5" customHeight="1" x14ac:dyDescent="0.3">
      <c r="A31" s="193">
        <v>8</v>
      </c>
      <c r="B31" s="144" t="s">
        <v>532</v>
      </c>
      <c r="C31" s="141">
        <v>7594.2</v>
      </c>
      <c r="D31" s="47">
        <f>B8</f>
        <v>2291.1037687331</v>
      </c>
      <c r="E31" s="190">
        <f t="shared" si="2"/>
        <v>42653.303768733102</v>
      </c>
      <c r="F31" s="191">
        <v>32768</v>
      </c>
      <c r="G31" s="202" t="s">
        <v>959</v>
      </c>
      <c r="H31" s="135">
        <f t="shared" si="3"/>
        <v>28637.816231266901</v>
      </c>
      <c r="I31" s="192">
        <f>I30+H31-F31</f>
        <v>-84995.507537466197</v>
      </c>
      <c r="J31" s="80"/>
      <c r="K31" s="85"/>
      <c r="L31" s="85"/>
    </row>
    <row r="32" spans="1:12" ht="43.5" customHeight="1" x14ac:dyDescent="0.3">
      <c r="A32" s="188">
        <v>9</v>
      </c>
      <c r="B32" s="149" t="s">
        <v>534</v>
      </c>
      <c r="C32" s="141">
        <v>4658.17</v>
      </c>
      <c r="D32" s="47">
        <f>B8</f>
        <v>2291.1037687331</v>
      </c>
      <c r="E32" s="190">
        <f t="shared" si="2"/>
        <v>17793.273768733099</v>
      </c>
      <c r="F32" s="191">
        <v>10844</v>
      </c>
      <c r="G32" s="202" t="s">
        <v>960</v>
      </c>
      <c r="H32" s="135">
        <f t="shared" si="3"/>
        <v>31573.846231266903</v>
      </c>
      <c r="I32" s="32">
        <f>I31+H32-F32</f>
        <v>-64265.661306199298</v>
      </c>
      <c r="J32" s="80"/>
      <c r="K32" s="85"/>
      <c r="L32" s="85"/>
    </row>
    <row r="33" spans="1:12" ht="43.5" customHeight="1" x14ac:dyDescent="0.3">
      <c r="A33" s="193">
        <v>10</v>
      </c>
      <c r="B33" s="144" t="s">
        <v>537</v>
      </c>
      <c r="C33" s="141">
        <v>3125.3</v>
      </c>
      <c r="D33" s="47">
        <f>B8</f>
        <v>2291.1037687331</v>
      </c>
      <c r="E33" s="190">
        <f t="shared" si="2"/>
        <v>11444.4037687331</v>
      </c>
      <c r="F33" s="191">
        <v>6028</v>
      </c>
      <c r="G33" s="202" t="s">
        <v>961</v>
      </c>
      <c r="H33" s="135">
        <f t="shared" si="3"/>
        <v>33106.716231266902</v>
      </c>
      <c r="I33" s="32">
        <f>I32+H33-F33</f>
        <v>-37186.945074932395</v>
      </c>
      <c r="J33" s="80"/>
      <c r="K33" s="85"/>
      <c r="L33" s="85"/>
    </row>
    <row r="34" spans="1:12" ht="43.5" customHeight="1" x14ac:dyDescent="0.3">
      <c r="A34" s="188">
        <v>11</v>
      </c>
      <c r="B34" s="149" t="s">
        <v>540</v>
      </c>
      <c r="C34" s="141">
        <v>3000</v>
      </c>
      <c r="D34" s="47">
        <f>B8</f>
        <v>2291.1037687331</v>
      </c>
      <c r="E34" s="190">
        <f t="shared" si="2"/>
        <v>5806.1037687331</v>
      </c>
      <c r="F34" s="191">
        <v>515</v>
      </c>
      <c r="G34" s="202" t="s">
        <v>962</v>
      </c>
      <c r="H34" s="135">
        <f t="shared" si="3"/>
        <v>33232.016231266905</v>
      </c>
      <c r="I34" s="203">
        <f>I33+H34-F34</f>
        <v>-4469.9288436654897</v>
      </c>
      <c r="J34" s="80"/>
      <c r="K34" s="85"/>
      <c r="L34" s="85"/>
    </row>
    <row r="35" spans="1:12" ht="43.5" customHeight="1" x14ac:dyDescent="0.3">
      <c r="A35" s="193">
        <v>12</v>
      </c>
      <c r="B35" s="144" t="s">
        <v>963</v>
      </c>
      <c r="C35" s="141">
        <v>3000</v>
      </c>
      <c r="D35" s="47">
        <f>B8</f>
        <v>2291.1037687331</v>
      </c>
      <c r="E35" s="190">
        <f t="shared" si="2"/>
        <v>5291.1037687331</v>
      </c>
      <c r="F35" s="82">
        <v>0</v>
      </c>
      <c r="G35" s="202" t="s">
        <v>964</v>
      </c>
      <c r="H35" s="135">
        <f t="shared" si="3"/>
        <v>33232.016231266905</v>
      </c>
      <c r="I35" s="204">
        <f>I34+H35-F35</f>
        <v>28762.087387601416</v>
      </c>
      <c r="J35" s="80"/>
      <c r="K35" s="85"/>
      <c r="L35" s="85"/>
    </row>
    <row r="36" spans="1:12" ht="21.75" customHeight="1" x14ac:dyDescent="0.3">
      <c r="A36" s="201" t="s">
        <v>947</v>
      </c>
      <c r="B36" s="145" t="s">
        <v>965</v>
      </c>
      <c r="C36" s="205">
        <f>SUM(C30:C35)</f>
        <v>38121.19</v>
      </c>
      <c r="D36" s="205">
        <f>SUM(D30:D35)</f>
        <v>13746.622612398602</v>
      </c>
      <c r="E36" s="205">
        <f>SUM(E30:E35)</f>
        <v>138710.81261239859</v>
      </c>
      <c r="F36" s="206">
        <f>SUM(F30:F35)</f>
        <v>86843</v>
      </c>
      <c r="G36" s="207" t="s">
        <v>966</v>
      </c>
      <c r="H36" s="205">
        <f>SUM(H30:H35)</f>
        <v>179270.90738760142</v>
      </c>
      <c r="I36" s="206">
        <f>I35</f>
        <v>28762.087387601416</v>
      </c>
      <c r="J36" s="80"/>
      <c r="K36" s="85"/>
      <c r="L36" s="85"/>
    </row>
    <row r="37" spans="1:12" ht="15.75" customHeight="1" x14ac:dyDescent="0.3">
      <c r="A37" s="90"/>
      <c r="B37" s="80"/>
      <c r="C37" s="85"/>
      <c r="D37" s="85"/>
      <c r="E37" s="85"/>
      <c r="F37" s="85"/>
      <c r="G37" s="85"/>
      <c r="H37" s="85"/>
      <c r="I37" s="85"/>
      <c r="J37" s="80"/>
      <c r="K37" s="85"/>
      <c r="L37" s="85"/>
    </row>
    <row r="38" spans="1:12" ht="21.75" customHeight="1" x14ac:dyDescent="0.3">
      <c r="A38" s="229" t="s">
        <v>967</v>
      </c>
      <c r="B38" s="229"/>
      <c r="C38" s="229"/>
      <c r="D38" s="229"/>
      <c r="E38" s="229"/>
      <c r="F38" s="229"/>
      <c r="G38" s="229"/>
      <c r="H38" s="229"/>
      <c r="I38" s="229"/>
      <c r="J38" s="80"/>
      <c r="K38" s="85"/>
      <c r="L38" s="85"/>
    </row>
    <row r="39" spans="1:12" ht="15.75" customHeight="1" x14ac:dyDescent="0.3">
      <c r="A39" s="230" t="s">
        <v>968</v>
      </c>
      <c r="B39" s="230"/>
      <c r="C39" s="230"/>
      <c r="D39" s="230"/>
      <c r="E39" s="230"/>
      <c r="F39" s="230"/>
      <c r="G39" s="230"/>
      <c r="H39" s="230"/>
      <c r="I39" s="230"/>
      <c r="J39" s="80"/>
      <c r="K39" s="85"/>
      <c r="L39" s="85"/>
    </row>
    <row r="40" spans="1:12" ht="36" customHeight="1" x14ac:dyDescent="0.3">
      <c r="A40" s="208" t="s">
        <v>3</v>
      </c>
      <c r="B40" s="28" t="s">
        <v>928</v>
      </c>
      <c r="C40" s="209" t="s">
        <v>969</v>
      </c>
      <c r="D40" s="209" t="s">
        <v>970</v>
      </c>
      <c r="E40" s="209" t="s">
        <v>971</v>
      </c>
      <c r="F40" s="209" t="s">
        <v>972</v>
      </c>
      <c r="G40" s="209" t="s">
        <v>355</v>
      </c>
      <c r="H40" s="209" t="s">
        <v>973</v>
      </c>
      <c r="I40" s="209" t="s">
        <v>974</v>
      </c>
      <c r="J40" s="80"/>
      <c r="K40" s="85"/>
      <c r="L40" s="85"/>
    </row>
    <row r="41" spans="1:12" ht="15.75" customHeight="1" x14ac:dyDescent="0.3">
      <c r="A41" s="193">
        <v>13</v>
      </c>
      <c r="B41" s="17" t="s">
        <v>975</v>
      </c>
      <c r="C41" s="82">
        <v>0</v>
      </c>
      <c r="D41" s="47">
        <f>B8</f>
        <v>2291.1037687331</v>
      </c>
      <c r="E41" s="47">
        <f t="shared" ref="E41:E82" si="4">38523.12-D41</f>
        <v>36232.016231266905</v>
      </c>
      <c r="F41" s="47">
        <f>SUM($E$41:E41)</f>
        <v>36232.016231266905</v>
      </c>
      <c r="G41" s="82">
        <v>0</v>
      </c>
      <c r="H41" s="196">
        <f>H36+E41</f>
        <v>215502.92361886831</v>
      </c>
      <c r="I41" s="203">
        <f>I36+E41</f>
        <v>64994.103618868321</v>
      </c>
      <c r="J41" s="80"/>
      <c r="K41" s="85"/>
      <c r="L41" s="85"/>
    </row>
    <row r="42" spans="1:12" ht="15.75" customHeight="1" x14ac:dyDescent="0.3">
      <c r="A42" s="188">
        <v>14</v>
      </c>
      <c r="B42" s="15" t="s">
        <v>976</v>
      </c>
      <c r="C42" s="87">
        <v>0</v>
      </c>
      <c r="D42" s="47">
        <f>B8</f>
        <v>2291.1037687331</v>
      </c>
      <c r="E42" s="47">
        <f t="shared" si="4"/>
        <v>36232.016231266905</v>
      </c>
      <c r="F42" s="47">
        <f>SUM($E$41:E42)</f>
        <v>72464.032462533811</v>
      </c>
      <c r="G42" s="87">
        <v>0</v>
      </c>
      <c r="H42" s="210">
        <f t="shared" ref="H42:H82" si="5">H41+E42</f>
        <v>251734.93985013521</v>
      </c>
      <c r="I42" s="196">
        <f t="shared" ref="I42:I82" si="6">I41+E42</f>
        <v>101226.11985013523</v>
      </c>
      <c r="J42" s="80"/>
      <c r="K42" s="85"/>
      <c r="L42" s="85"/>
    </row>
    <row r="43" spans="1:12" ht="15.75" customHeight="1" x14ac:dyDescent="0.3">
      <c r="A43" s="193">
        <v>15</v>
      </c>
      <c r="B43" s="17" t="s">
        <v>977</v>
      </c>
      <c r="C43" s="82">
        <v>0</v>
      </c>
      <c r="D43" s="47">
        <f>B8</f>
        <v>2291.1037687331</v>
      </c>
      <c r="E43" s="47">
        <f t="shared" si="4"/>
        <v>36232.016231266905</v>
      </c>
      <c r="F43" s="47">
        <f>SUM($E$41:E43)</f>
        <v>108696.04869380072</v>
      </c>
      <c r="G43" s="82">
        <v>0</v>
      </c>
      <c r="H43" s="196">
        <f t="shared" si="5"/>
        <v>287966.95608140214</v>
      </c>
      <c r="I43" s="196">
        <f t="shared" si="6"/>
        <v>137458.13608140213</v>
      </c>
      <c r="J43" s="80"/>
      <c r="K43" s="85"/>
      <c r="L43" s="85"/>
    </row>
    <row r="44" spans="1:12" ht="15.75" customHeight="1" x14ac:dyDescent="0.3">
      <c r="A44" s="188">
        <v>16</v>
      </c>
      <c r="B44" s="15" t="s">
        <v>978</v>
      </c>
      <c r="C44" s="87">
        <v>0</v>
      </c>
      <c r="D44" s="47">
        <f>B8</f>
        <v>2291.1037687331</v>
      </c>
      <c r="E44" s="47">
        <f t="shared" si="4"/>
        <v>36232.016231266905</v>
      </c>
      <c r="F44" s="47">
        <f>SUM($E$41:E44)</f>
        <v>144928.06492506762</v>
      </c>
      <c r="G44" s="87">
        <v>0</v>
      </c>
      <c r="H44" s="196">
        <f t="shared" si="5"/>
        <v>324198.97231266904</v>
      </c>
      <c r="I44" s="196">
        <f t="shared" si="6"/>
        <v>173690.15231266903</v>
      </c>
      <c r="J44" s="80"/>
      <c r="K44" s="85"/>
      <c r="L44" s="85"/>
    </row>
    <row r="45" spans="1:12" ht="15.75" customHeight="1" x14ac:dyDescent="0.3">
      <c r="A45" s="193">
        <v>17</v>
      </c>
      <c r="B45" s="17" t="s">
        <v>979</v>
      </c>
      <c r="C45" s="82">
        <v>0</v>
      </c>
      <c r="D45" s="47">
        <f>B8</f>
        <v>2291.1037687331</v>
      </c>
      <c r="E45" s="47">
        <f t="shared" si="4"/>
        <v>36232.016231266905</v>
      </c>
      <c r="F45" s="47">
        <f>SUM($E$41:E45)</f>
        <v>181160.08115633452</v>
      </c>
      <c r="G45" s="82">
        <v>0</v>
      </c>
      <c r="H45" s="196">
        <f t="shared" si="5"/>
        <v>360430.98854393594</v>
      </c>
      <c r="I45" s="196">
        <f t="shared" si="6"/>
        <v>209922.16854393593</v>
      </c>
      <c r="J45" s="80"/>
      <c r="K45" s="85"/>
      <c r="L45" s="85"/>
    </row>
    <row r="46" spans="1:12" ht="15.75" customHeight="1" x14ac:dyDescent="0.3">
      <c r="A46" s="211">
        <v>18</v>
      </c>
      <c r="B46" s="152" t="s">
        <v>980</v>
      </c>
      <c r="C46" s="78">
        <v>0</v>
      </c>
      <c r="D46" s="47">
        <f>B8</f>
        <v>2291.1037687331</v>
      </c>
      <c r="E46" s="83">
        <f t="shared" si="4"/>
        <v>36232.016231266905</v>
      </c>
      <c r="F46" s="83">
        <f>SUM($E$41:E46)</f>
        <v>217392.09738760142</v>
      </c>
      <c r="G46" s="78">
        <v>0</v>
      </c>
      <c r="H46" s="135">
        <f t="shared" si="5"/>
        <v>396663.00477520283</v>
      </c>
      <c r="I46" s="135">
        <f t="shared" si="6"/>
        <v>246154.18477520283</v>
      </c>
      <c r="J46" s="80"/>
      <c r="K46" s="85"/>
      <c r="L46" s="85"/>
    </row>
    <row r="47" spans="1:12" ht="15.75" customHeight="1" x14ac:dyDescent="0.3">
      <c r="A47" s="193">
        <v>19</v>
      </c>
      <c r="B47" s="17" t="s">
        <v>981</v>
      </c>
      <c r="C47" s="82">
        <v>0</v>
      </c>
      <c r="D47" s="47">
        <f>B8*(1+B11)</f>
        <v>2405.658957169755</v>
      </c>
      <c r="E47" s="47">
        <f t="shared" si="4"/>
        <v>36117.461042830248</v>
      </c>
      <c r="F47" s="47">
        <f>SUM($E$41:E47)</f>
        <v>253509.55843043167</v>
      </c>
      <c r="G47" s="82">
        <v>0</v>
      </c>
      <c r="H47" s="196">
        <f t="shared" si="5"/>
        <v>432780.46581803309</v>
      </c>
      <c r="I47" s="196">
        <f t="shared" si="6"/>
        <v>282271.64581803308</v>
      </c>
      <c r="J47" s="80"/>
      <c r="K47" s="85"/>
      <c r="L47" s="85"/>
    </row>
    <row r="48" spans="1:12" ht="15.75" customHeight="1" x14ac:dyDescent="0.3">
      <c r="A48" s="188">
        <v>20</v>
      </c>
      <c r="B48" s="15" t="s">
        <v>982</v>
      </c>
      <c r="C48" s="87">
        <v>0</v>
      </c>
      <c r="D48" s="47">
        <f>B8*(1+B11)</f>
        <v>2405.658957169755</v>
      </c>
      <c r="E48" s="47">
        <f t="shared" si="4"/>
        <v>36117.461042830248</v>
      </c>
      <c r="F48" s="47">
        <f>SUM($E$41:E48)</f>
        <v>289627.0194732619</v>
      </c>
      <c r="G48" s="87">
        <v>0</v>
      </c>
      <c r="H48" s="196">
        <f t="shared" si="5"/>
        <v>468897.92686086334</v>
      </c>
      <c r="I48" s="196">
        <f t="shared" si="6"/>
        <v>318389.10686086334</v>
      </c>
      <c r="J48" s="80"/>
      <c r="K48" s="85"/>
      <c r="L48" s="85"/>
    </row>
    <row r="49" spans="1:12" ht="15.75" customHeight="1" x14ac:dyDescent="0.3">
      <c r="A49" s="193">
        <v>21</v>
      </c>
      <c r="B49" s="17" t="s">
        <v>983</v>
      </c>
      <c r="C49" s="82">
        <v>0</v>
      </c>
      <c r="D49" s="47">
        <f>B8*(1+B11)</f>
        <v>2405.658957169755</v>
      </c>
      <c r="E49" s="47">
        <f t="shared" si="4"/>
        <v>36117.461042830248</v>
      </c>
      <c r="F49" s="47">
        <f>SUM($E$41:E49)</f>
        <v>325744.48051609215</v>
      </c>
      <c r="G49" s="82">
        <v>0</v>
      </c>
      <c r="H49" s="196">
        <f t="shared" si="5"/>
        <v>505015.3879036936</v>
      </c>
      <c r="I49" s="196">
        <f t="shared" si="6"/>
        <v>354506.56790369359</v>
      </c>
      <c r="J49" s="80"/>
      <c r="K49" s="85"/>
      <c r="L49" s="85"/>
    </row>
    <row r="50" spans="1:12" ht="15.75" customHeight="1" x14ac:dyDescent="0.3">
      <c r="A50" s="188">
        <v>22</v>
      </c>
      <c r="B50" s="15" t="s">
        <v>984</v>
      </c>
      <c r="C50" s="87">
        <v>0</v>
      </c>
      <c r="D50" s="47">
        <f>B8*(1+B11)</f>
        <v>2405.658957169755</v>
      </c>
      <c r="E50" s="47">
        <f t="shared" si="4"/>
        <v>36117.461042830248</v>
      </c>
      <c r="F50" s="47">
        <f>SUM($E$41:E50)</f>
        <v>361861.94155892241</v>
      </c>
      <c r="G50" s="87">
        <v>0</v>
      </c>
      <c r="H50" s="196">
        <f t="shared" si="5"/>
        <v>541132.84894652385</v>
      </c>
      <c r="I50" s="196">
        <f t="shared" si="6"/>
        <v>390624.02894652385</v>
      </c>
      <c r="J50" s="80"/>
      <c r="K50" s="85"/>
      <c r="L50" s="85"/>
    </row>
    <row r="51" spans="1:12" ht="15.75" customHeight="1" x14ac:dyDescent="0.3">
      <c r="A51" s="193">
        <v>23</v>
      </c>
      <c r="B51" s="17" t="s">
        <v>985</v>
      </c>
      <c r="C51" s="82">
        <v>0</v>
      </c>
      <c r="D51" s="47">
        <f>B8*(1+B11)</f>
        <v>2405.658957169755</v>
      </c>
      <c r="E51" s="47">
        <f t="shared" si="4"/>
        <v>36117.461042830248</v>
      </c>
      <c r="F51" s="47">
        <f>SUM($E$41:E51)</f>
        <v>397979.40260175266</v>
      </c>
      <c r="G51" s="82">
        <v>0</v>
      </c>
      <c r="H51" s="196">
        <f t="shared" si="5"/>
        <v>577250.30998935411</v>
      </c>
      <c r="I51" s="196">
        <f t="shared" si="6"/>
        <v>426741.4899893541</v>
      </c>
      <c r="J51" s="80"/>
      <c r="K51" s="85"/>
      <c r="L51" s="85"/>
    </row>
    <row r="52" spans="1:12" ht="15.75" customHeight="1" x14ac:dyDescent="0.3">
      <c r="A52" s="188">
        <v>24</v>
      </c>
      <c r="B52" s="15" t="s">
        <v>986</v>
      </c>
      <c r="C52" s="87">
        <v>0</v>
      </c>
      <c r="D52" s="47">
        <f>B8*(1+B11)</f>
        <v>2405.658957169755</v>
      </c>
      <c r="E52" s="47">
        <f t="shared" si="4"/>
        <v>36117.461042830248</v>
      </c>
      <c r="F52" s="47">
        <f>SUM($E$41:E52)</f>
        <v>434096.86364458292</v>
      </c>
      <c r="G52" s="87">
        <v>0</v>
      </c>
      <c r="H52" s="196">
        <f t="shared" si="5"/>
        <v>613367.77103218436</v>
      </c>
      <c r="I52" s="196">
        <f t="shared" si="6"/>
        <v>462858.95103218436</v>
      </c>
      <c r="J52" s="62"/>
      <c r="K52" s="62"/>
      <c r="L52" s="62"/>
    </row>
    <row r="53" spans="1:12" ht="15.75" customHeight="1" x14ac:dyDescent="0.3">
      <c r="A53" s="193">
        <v>25</v>
      </c>
      <c r="B53" s="212" t="s">
        <v>987</v>
      </c>
      <c r="C53" s="82">
        <v>0</v>
      </c>
      <c r="D53" s="47">
        <f>B8*(1+B11)</f>
        <v>2405.658957169755</v>
      </c>
      <c r="E53" s="47">
        <f t="shared" si="4"/>
        <v>36117.461042830248</v>
      </c>
      <c r="F53" s="47">
        <f>SUM($E$41:E53)</f>
        <v>470214.32468741317</v>
      </c>
      <c r="G53" s="82">
        <v>0</v>
      </c>
      <c r="H53" s="196">
        <f t="shared" si="5"/>
        <v>649485.23207501462</v>
      </c>
      <c r="I53" s="196">
        <f t="shared" si="6"/>
        <v>498976.41207501461</v>
      </c>
      <c r="J53" s="62"/>
      <c r="K53" s="62"/>
      <c r="L53" s="62"/>
    </row>
    <row r="54" spans="1:12" ht="15.75" customHeight="1" x14ac:dyDescent="0.3">
      <c r="A54" s="188">
        <v>26</v>
      </c>
      <c r="B54" s="213" t="s">
        <v>988</v>
      </c>
      <c r="C54" s="87">
        <v>0</v>
      </c>
      <c r="D54" s="47">
        <f>B8*(1+B11)</f>
        <v>2405.658957169755</v>
      </c>
      <c r="E54" s="47">
        <f t="shared" si="4"/>
        <v>36117.461042830248</v>
      </c>
      <c r="F54" s="47">
        <f>SUM($E$41:E54)</f>
        <v>506331.78573024343</v>
      </c>
      <c r="G54" s="87">
        <v>0</v>
      </c>
      <c r="H54" s="196">
        <f t="shared" si="5"/>
        <v>685602.69311784487</v>
      </c>
      <c r="I54" s="196">
        <f t="shared" si="6"/>
        <v>535093.87311784481</v>
      </c>
      <c r="J54" s="80"/>
      <c r="K54" s="80"/>
      <c r="L54" s="80"/>
    </row>
    <row r="55" spans="1:12" ht="15.75" customHeight="1" x14ac:dyDescent="0.3">
      <c r="A55" s="193">
        <v>27</v>
      </c>
      <c r="B55" s="212" t="s">
        <v>989</v>
      </c>
      <c r="C55" s="82">
        <v>0</v>
      </c>
      <c r="D55" s="47">
        <f>B8*(1+B11)</f>
        <v>2405.658957169755</v>
      </c>
      <c r="E55" s="47">
        <f t="shared" si="4"/>
        <v>36117.461042830248</v>
      </c>
      <c r="F55" s="47">
        <f>SUM($E$41:E55)</f>
        <v>542449.24677307368</v>
      </c>
      <c r="G55" s="82">
        <v>0</v>
      </c>
      <c r="H55" s="196">
        <f t="shared" si="5"/>
        <v>721720.15416067513</v>
      </c>
      <c r="I55" s="196">
        <f t="shared" si="6"/>
        <v>571211.33416067506</v>
      </c>
      <c r="J55" s="214"/>
      <c r="K55" s="80"/>
      <c r="L55" s="215"/>
    </row>
    <row r="56" spans="1:12" ht="15.75" customHeight="1" x14ac:dyDescent="0.3">
      <c r="A56" s="188">
        <v>28</v>
      </c>
      <c r="B56" s="213" t="s">
        <v>990</v>
      </c>
      <c r="C56" s="87">
        <v>0</v>
      </c>
      <c r="D56" s="47">
        <f>B8*(1+B11)</f>
        <v>2405.658957169755</v>
      </c>
      <c r="E56" s="47">
        <f t="shared" si="4"/>
        <v>36117.461042830248</v>
      </c>
      <c r="F56" s="47">
        <f>SUM($E$41:E56)</f>
        <v>578566.70781590394</v>
      </c>
      <c r="G56" s="87">
        <v>0</v>
      </c>
      <c r="H56" s="196">
        <f t="shared" si="5"/>
        <v>757837.61520350538</v>
      </c>
      <c r="I56" s="196">
        <f t="shared" si="6"/>
        <v>607328.79520350532</v>
      </c>
      <c r="J56" s="214"/>
      <c r="K56" s="80"/>
      <c r="L56" s="215"/>
    </row>
    <row r="57" spans="1:12" ht="15.75" customHeight="1" x14ac:dyDescent="0.3">
      <c r="A57" s="193">
        <v>29</v>
      </c>
      <c r="B57" s="212" t="s">
        <v>991</v>
      </c>
      <c r="C57" s="82">
        <v>0</v>
      </c>
      <c r="D57" s="47">
        <f>B8*(1+B11)</f>
        <v>2405.658957169755</v>
      </c>
      <c r="E57" s="47">
        <f t="shared" si="4"/>
        <v>36117.461042830248</v>
      </c>
      <c r="F57" s="47">
        <f>SUM($E$41:E57)</f>
        <v>614684.16885873419</v>
      </c>
      <c r="G57" s="82">
        <v>0</v>
      </c>
      <c r="H57" s="196">
        <f t="shared" si="5"/>
        <v>793955.07624633564</v>
      </c>
      <c r="I57" s="196">
        <f t="shared" si="6"/>
        <v>643446.25624633557</v>
      </c>
      <c r="J57" s="214"/>
      <c r="K57" s="80"/>
      <c r="L57" s="215"/>
    </row>
    <row r="58" spans="1:12" ht="15.75" customHeight="1" x14ac:dyDescent="0.3">
      <c r="A58" s="211">
        <v>30</v>
      </c>
      <c r="B58" s="216" t="s">
        <v>992</v>
      </c>
      <c r="C58" s="78">
        <v>0</v>
      </c>
      <c r="D58" s="47">
        <f>B8*(1+B11)</f>
        <v>2405.658957169755</v>
      </c>
      <c r="E58" s="83">
        <f t="shared" si="4"/>
        <v>36117.461042830248</v>
      </c>
      <c r="F58" s="83">
        <f>SUM($E$41:E58)</f>
        <v>650801.62990156445</v>
      </c>
      <c r="G58" s="78">
        <v>0</v>
      </c>
      <c r="H58" s="135">
        <f t="shared" si="5"/>
        <v>830072.53728916589</v>
      </c>
      <c r="I58" s="135">
        <f t="shared" si="6"/>
        <v>679563.71728916583</v>
      </c>
      <c r="J58" s="214"/>
      <c r="K58" s="80"/>
      <c r="L58" s="215"/>
    </row>
    <row r="59" spans="1:12" ht="15.75" customHeight="1" x14ac:dyDescent="0.3">
      <c r="A59" s="193">
        <v>31</v>
      </c>
      <c r="B59" s="17" t="s">
        <v>993</v>
      </c>
      <c r="C59" s="82">
        <v>0</v>
      </c>
      <c r="D59" s="47">
        <f>B8*(1+B11)^2</f>
        <v>2525.9419050282427</v>
      </c>
      <c r="E59" s="47">
        <f t="shared" si="4"/>
        <v>35997.178094971758</v>
      </c>
      <c r="F59" s="47">
        <f>SUM($E$41:E59)</f>
        <v>686798.80799653626</v>
      </c>
      <c r="G59" s="82">
        <v>0</v>
      </c>
      <c r="H59" s="196">
        <f t="shared" si="5"/>
        <v>866069.7153841377</v>
      </c>
      <c r="I59" s="196">
        <f t="shared" si="6"/>
        <v>715560.89538413764</v>
      </c>
      <c r="J59" s="62"/>
      <c r="K59" s="62"/>
      <c r="L59" s="62"/>
    </row>
    <row r="60" spans="1:12" ht="15.75" customHeight="1" x14ac:dyDescent="0.3">
      <c r="A60" s="188">
        <v>32</v>
      </c>
      <c r="B60" s="15" t="s">
        <v>994</v>
      </c>
      <c r="C60" s="87">
        <v>0</v>
      </c>
      <c r="D60" s="47">
        <f>B8*(1+B11)^2</f>
        <v>2525.9419050282427</v>
      </c>
      <c r="E60" s="47">
        <f t="shared" si="4"/>
        <v>35997.178094971758</v>
      </c>
      <c r="F60" s="47">
        <f>SUM($E$41:E60)</f>
        <v>722795.98609150806</v>
      </c>
      <c r="G60" s="87">
        <v>0</v>
      </c>
      <c r="H60" s="196">
        <f t="shared" si="5"/>
        <v>902066.89347910951</v>
      </c>
      <c r="I60" s="196">
        <f t="shared" si="6"/>
        <v>751558.07347910944</v>
      </c>
      <c r="J60" s="62"/>
      <c r="K60" s="62"/>
      <c r="L60" s="62"/>
    </row>
    <row r="61" spans="1:12" ht="15.75" customHeight="1" x14ac:dyDescent="0.3">
      <c r="A61" s="193">
        <v>33</v>
      </c>
      <c r="B61" s="17" t="s">
        <v>995</v>
      </c>
      <c r="C61" s="82">
        <v>0</v>
      </c>
      <c r="D61" s="47">
        <f>B8*(1+B11)^2</f>
        <v>2525.9419050282427</v>
      </c>
      <c r="E61" s="47">
        <f t="shared" si="4"/>
        <v>35997.178094971758</v>
      </c>
      <c r="F61" s="47">
        <f>SUM($E$41:E61)</f>
        <v>758793.16418647987</v>
      </c>
      <c r="G61" s="82">
        <v>0</v>
      </c>
      <c r="H61" s="196">
        <f t="shared" si="5"/>
        <v>938064.07157408132</v>
      </c>
      <c r="I61" s="196">
        <f t="shared" si="6"/>
        <v>787555.25157408125</v>
      </c>
      <c r="J61" s="62"/>
      <c r="K61" s="62"/>
      <c r="L61" s="62"/>
    </row>
    <row r="62" spans="1:12" ht="15.75" customHeight="1" x14ac:dyDescent="0.3">
      <c r="A62" s="188">
        <v>34</v>
      </c>
      <c r="B62" s="15" t="s">
        <v>996</v>
      </c>
      <c r="C62" s="87">
        <v>0</v>
      </c>
      <c r="D62" s="47">
        <f>B8*(1+B11)^2</f>
        <v>2525.9419050282427</v>
      </c>
      <c r="E62" s="47">
        <f t="shared" si="4"/>
        <v>35997.178094971758</v>
      </c>
      <c r="F62" s="47">
        <f>SUM($E$41:E62)</f>
        <v>794790.34228145168</v>
      </c>
      <c r="G62" s="87">
        <v>0</v>
      </c>
      <c r="H62" s="196">
        <f t="shared" si="5"/>
        <v>974061.24966905313</v>
      </c>
      <c r="I62" s="196">
        <f t="shared" si="6"/>
        <v>823552.42966905306</v>
      </c>
      <c r="J62" s="62"/>
      <c r="K62" s="62"/>
      <c r="L62" s="62"/>
    </row>
    <row r="63" spans="1:12" ht="15.75" customHeight="1" x14ac:dyDescent="0.3">
      <c r="A63" s="193">
        <v>35</v>
      </c>
      <c r="B63" s="17" t="s">
        <v>997</v>
      </c>
      <c r="C63" s="82">
        <v>0</v>
      </c>
      <c r="D63" s="47">
        <f>B8*(1+B11)^2</f>
        <v>2525.9419050282427</v>
      </c>
      <c r="E63" s="47">
        <f t="shared" si="4"/>
        <v>35997.178094971758</v>
      </c>
      <c r="F63" s="47">
        <f>SUM($E$41:E63)</f>
        <v>830787.52037642349</v>
      </c>
      <c r="G63" s="82">
        <v>0</v>
      </c>
      <c r="H63" s="196">
        <f t="shared" si="5"/>
        <v>1010058.4277640249</v>
      </c>
      <c r="I63" s="196">
        <f t="shared" si="6"/>
        <v>859549.60776402487</v>
      </c>
      <c r="J63" s="62"/>
      <c r="K63" s="62"/>
      <c r="L63" s="62"/>
    </row>
    <row r="64" spans="1:12" ht="15.75" customHeight="1" x14ac:dyDescent="0.3">
      <c r="A64" s="188">
        <v>36</v>
      </c>
      <c r="B64" s="15" t="s">
        <v>998</v>
      </c>
      <c r="C64" s="87">
        <v>0</v>
      </c>
      <c r="D64" s="47">
        <f>B8*(1+B11)^2</f>
        <v>2525.9419050282427</v>
      </c>
      <c r="E64" s="47">
        <f t="shared" si="4"/>
        <v>35997.178094971758</v>
      </c>
      <c r="F64" s="47">
        <f>SUM($E$41:E64)</f>
        <v>866784.6984713953</v>
      </c>
      <c r="G64" s="87">
        <v>0</v>
      </c>
      <c r="H64" s="196">
        <f t="shared" si="5"/>
        <v>1046055.6058589967</v>
      </c>
      <c r="I64" s="196">
        <f t="shared" si="6"/>
        <v>895546.78585899668</v>
      </c>
      <c r="J64" s="62"/>
      <c r="K64" s="62"/>
      <c r="L64" s="62"/>
    </row>
    <row r="65" spans="1:12" ht="15.75" customHeight="1" x14ac:dyDescent="0.3">
      <c r="A65" s="193">
        <v>37</v>
      </c>
      <c r="B65" s="17" t="s">
        <v>999</v>
      </c>
      <c r="C65" s="82">
        <v>0</v>
      </c>
      <c r="D65" s="47">
        <f>B8*(1+B11)^2</f>
        <v>2525.9419050282427</v>
      </c>
      <c r="E65" s="47">
        <f t="shared" si="4"/>
        <v>35997.178094971758</v>
      </c>
      <c r="F65" s="47">
        <f>SUM($E$41:E65)</f>
        <v>902781.87656636711</v>
      </c>
      <c r="G65" s="82">
        <v>0</v>
      </c>
      <c r="H65" s="196">
        <f t="shared" si="5"/>
        <v>1082052.7839539684</v>
      </c>
      <c r="I65" s="196">
        <f t="shared" si="6"/>
        <v>931543.96395396849</v>
      </c>
      <c r="J65" s="62"/>
      <c r="K65" s="62"/>
      <c r="L65" s="62"/>
    </row>
    <row r="66" spans="1:12" ht="15.75" customHeight="1" x14ac:dyDescent="0.3">
      <c r="A66" s="188">
        <v>38</v>
      </c>
      <c r="B66" s="15" t="s">
        <v>1000</v>
      </c>
      <c r="C66" s="87">
        <v>0</v>
      </c>
      <c r="D66" s="47">
        <f>B8*(1+B11)^2</f>
        <v>2525.9419050282427</v>
      </c>
      <c r="E66" s="47">
        <f t="shared" si="4"/>
        <v>35997.178094971758</v>
      </c>
      <c r="F66" s="47">
        <f>SUM($E$41:E66)</f>
        <v>938779.05466133892</v>
      </c>
      <c r="G66" s="87">
        <v>0</v>
      </c>
      <c r="H66" s="196">
        <f t="shared" si="5"/>
        <v>1118049.9620489401</v>
      </c>
      <c r="I66" s="196">
        <f t="shared" si="6"/>
        <v>967541.1420489403</v>
      </c>
      <c r="J66" s="62"/>
      <c r="K66" s="62"/>
      <c r="L66" s="62"/>
    </row>
    <row r="67" spans="1:12" ht="15.75" customHeight="1" x14ac:dyDescent="0.3">
      <c r="A67" s="193">
        <v>39</v>
      </c>
      <c r="B67" s="17" t="s">
        <v>1001</v>
      </c>
      <c r="C67" s="82">
        <v>0</v>
      </c>
      <c r="D67" s="47">
        <f>B8*(1+B11)^2</f>
        <v>2525.9419050282427</v>
      </c>
      <c r="E67" s="47">
        <f t="shared" si="4"/>
        <v>35997.178094971758</v>
      </c>
      <c r="F67" s="47">
        <f>SUM($E$41:E67)</f>
        <v>974776.23275631072</v>
      </c>
      <c r="G67" s="82">
        <v>0</v>
      </c>
      <c r="H67" s="196">
        <f t="shared" si="5"/>
        <v>1154047.1401439118</v>
      </c>
      <c r="I67" s="196">
        <f t="shared" si="6"/>
        <v>1003538.3201439121</v>
      </c>
      <c r="J67" s="62"/>
      <c r="K67" s="62"/>
      <c r="L67" s="62"/>
    </row>
    <row r="68" spans="1:12" ht="15.75" customHeight="1" x14ac:dyDescent="0.3">
      <c r="A68" s="188">
        <v>40</v>
      </c>
      <c r="B68" s="15" t="s">
        <v>1002</v>
      </c>
      <c r="C68" s="87">
        <v>0</v>
      </c>
      <c r="D68" s="47">
        <f>B8*(1+B11)^2</f>
        <v>2525.9419050282427</v>
      </c>
      <c r="E68" s="47">
        <f t="shared" si="4"/>
        <v>35997.178094971758</v>
      </c>
      <c r="F68" s="47">
        <f>SUM($E$41:E68)</f>
        <v>1010773.4108512825</v>
      </c>
      <c r="G68" s="87">
        <v>0</v>
      </c>
      <c r="H68" s="196">
        <f t="shared" si="5"/>
        <v>1190044.3182388835</v>
      </c>
      <c r="I68" s="196">
        <f t="shared" si="6"/>
        <v>1039535.4982388839</v>
      </c>
      <c r="J68" s="62"/>
      <c r="K68" s="62"/>
      <c r="L68" s="62"/>
    </row>
    <row r="69" spans="1:12" ht="18" customHeight="1" x14ac:dyDescent="0.3">
      <c r="A69" s="193">
        <v>41</v>
      </c>
      <c r="B69" s="17" t="s">
        <v>1003</v>
      </c>
      <c r="C69" s="82">
        <v>0</v>
      </c>
      <c r="D69" s="47">
        <f>B8*(1+B11)^2</f>
        <v>2525.9419050282427</v>
      </c>
      <c r="E69" s="47">
        <f t="shared" si="4"/>
        <v>35997.178094971758</v>
      </c>
      <c r="F69" s="47">
        <f>SUM($E$41:E69)</f>
        <v>1046770.5889462543</v>
      </c>
      <c r="G69" s="82">
        <v>0</v>
      </c>
      <c r="H69" s="196">
        <f t="shared" si="5"/>
        <v>1226041.4963338552</v>
      </c>
      <c r="I69" s="196">
        <f t="shared" si="6"/>
        <v>1075532.6763338556</v>
      </c>
      <c r="J69" s="62"/>
      <c r="K69" s="62"/>
      <c r="L69" s="62"/>
    </row>
    <row r="70" spans="1:12" ht="18" customHeight="1" x14ac:dyDescent="0.3">
      <c r="A70" s="211">
        <v>42</v>
      </c>
      <c r="B70" s="152" t="s">
        <v>1004</v>
      </c>
      <c r="C70" s="78">
        <v>0</v>
      </c>
      <c r="D70" s="47">
        <f>B8*(1+B11)^2</f>
        <v>2525.9419050282427</v>
      </c>
      <c r="E70" s="83">
        <f t="shared" si="4"/>
        <v>35997.178094971758</v>
      </c>
      <c r="F70" s="83">
        <f>SUM($E$41:E70)</f>
        <v>1082767.7670412262</v>
      </c>
      <c r="G70" s="78">
        <v>0</v>
      </c>
      <c r="H70" s="135">
        <f t="shared" si="5"/>
        <v>1262038.6744288269</v>
      </c>
      <c r="I70" s="135">
        <f t="shared" si="6"/>
        <v>1111529.8544288273</v>
      </c>
      <c r="J70" s="62"/>
      <c r="K70" s="62"/>
      <c r="L70" s="62"/>
    </row>
    <row r="71" spans="1:12" ht="18" customHeight="1" x14ac:dyDescent="0.3">
      <c r="A71" s="193">
        <v>43</v>
      </c>
      <c r="B71" s="17" t="s">
        <v>1005</v>
      </c>
      <c r="C71" s="82">
        <v>0</v>
      </c>
      <c r="D71" s="47">
        <f>B8*(1+B11)^3</f>
        <v>2652.2390002796551</v>
      </c>
      <c r="E71" s="47">
        <f t="shared" si="4"/>
        <v>35870.88099972035</v>
      </c>
      <c r="F71" s="47">
        <f>SUM($E$41:E71)</f>
        <v>1118638.6480409466</v>
      </c>
      <c r="G71" s="82">
        <v>0</v>
      </c>
      <c r="H71" s="196">
        <f t="shared" si="5"/>
        <v>1297909.5554285473</v>
      </c>
      <c r="I71" s="196">
        <f t="shared" si="6"/>
        <v>1147400.7354285477</v>
      </c>
      <c r="J71" s="62"/>
      <c r="K71" s="62"/>
      <c r="L71" s="62"/>
    </row>
    <row r="72" spans="1:12" ht="18" customHeight="1" x14ac:dyDescent="0.3">
      <c r="A72" s="188">
        <v>44</v>
      </c>
      <c r="B72" s="15" t="s">
        <v>1006</v>
      </c>
      <c r="C72" s="87">
        <v>0</v>
      </c>
      <c r="D72" s="47">
        <f>B8*(1+B11)^3</f>
        <v>2652.2390002796551</v>
      </c>
      <c r="E72" s="47">
        <f t="shared" si="4"/>
        <v>35870.88099972035</v>
      </c>
      <c r="F72" s="47">
        <f>SUM($E$41:E72)</f>
        <v>1154509.529040667</v>
      </c>
      <c r="G72" s="87">
        <v>0</v>
      </c>
      <c r="H72" s="196">
        <f t="shared" si="5"/>
        <v>1333780.4364282677</v>
      </c>
      <c r="I72" s="196">
        <f t="shared" si="6"/>
        <v>1183271.6164282681</v>
      </c>
      <c r="J72" s="62"/>
      <c r="K72" s="62"/>
      <c r="L72" s="62"/>
    </row>
    <row r="73" spans="1:12" ht="18" customHeight="1" x14ac:dyDescent="0.3">
      <c r="A73" s="193">
        <v>45</v>
      </c>
      <c r="B73" s="17" t="s">
        <v>1007</v>
      </c>
      <c r="C73" s="82">
        <v>0</v>
      </c>
      <c r="D73" s="47">
        <f>B8*(1+B11)^3</f>
        <v>2652.2390002796551</v>
      </c>
      <c r="E73" s="47">
        <f t="shared" si="4"/>
        <v>35870.88099972035</v>
      </c>
      <c r="F73" s="47">
        <f>SUM($E$41:E73)</f>
        <v>1190380.4100403874</v>
      </c>
      <c r="G73" s="82">
        <v>0</v>
      </c>
      <c r="H73" s="196">
        <f t="shared" si="5"/>
        <v>1369651.3174279882</v>
      </c>
      <c r="I73" s="196">
        <f t="shared" si="6"/>
        <v>1219142.4974279886</v>
      </c>
      <c r="J73" s="62"/>
      <c r="K73" s="62"/>
      <c r="L73" s="62"/>
    </row>
    <row r="74" spans="1:12" ht="18" customHeight="1" x14ac:dyDescent="0.3">
      <c r="A74" s="188">
        <v>46</v>
      </c>
      <c r="B74" s="15" t="s">
        <v>1008</v>
      </c>
      <c r="C74" s="87">
        <v>0</v>
      </c>
      <c r="D74" s="47">
        <f>B8*(1+B11)^3</f>
        <v>2652.2390002796551</v>
      </c>
      <c r="E74" s="47">
        <f t="shared" si="4"/>
        <v>35870.88099972035</v>
      </c>
      <c r="F74" s="47">
        <f>SUM($E$41:E74)</f>
        <v>1226251.2910401078</v>
      </c>
      <c r="G74" s="87">
        <v>0</v>
      </c>
      <c r="H74" s="196">
        <f t="shared" si="5"/>
        <v>1405522.1984277086</v>
      </c>
      <c r="I74" s="196">
        <f t="shared" si="6"/>
        <v>1255013.378427709</v>
      </c>
      <c r="J74" s="62"/>
      <c r="K74" s="62"/>
      <c r="L74" s="62"/>
    </row>
    <row r="75" spans="1:12" ht="18" customHeight="1" x14ac:dyDescent="0.3">
      <c r="A75" s="193">
        <v>47</v>
      </c>
      <c r="B75" s="17" t="s">
        <v>1009</v>
      </c>
      <c r="C75" s="82">
        <v>0</v>
      </c>
      <c r="D75" s="47">
        <f>B8*(1+B11)^3</f>
        <v>2652.2390002796551</v>
      </c>
      <c r="E75" s="47">
        <f t="shared" si="4"/>
        <v>35870.88099972035</v>
      </c>
      <c r="F75" s="47">
        <f>SUM($E$41:E75)</f>
        <v>1262122.1720398283</v>
      </c>
      <c r="G75" s="82">
        <v>0</v>
      </c>
      <c r="H75" s="196">
        <f t="shared" si="5"/>
        <v>1441393.079427429</v>
      </c>
      <c r="I75" s="196">
        <f t="shared" si="6"/>
        <v>1290884.2594274294</v>
      </c>
      <c r="J75" s="62"/>
      <c r="K75" s="62"/>
      <c r="L75" s="62"/>
    </row>
    <row r="76" spans="1:12" ht="18" customHeight="1" x14ac:dyDescent="0.3">
      <c r="A76" s="188">
        <v>48</v>
      </c>
      <c r="B76" s="15" t="s">
        <v>1010</v>
      </c>
      <c r="C76" s="87">
        <v>0</v>
      </c>
      <c r="D76" s="47">
        <f>B8*(1+B11)^3</f>
        <v>2652.2390002796551</v>
      </c>
      <c r="E76" s="47">
        <f t="shared" si="4"/>
        <v>35870.88099972035</v>
      </c>
      <c r="F76" s="47">
        <f>SUM($E$41:E76)</f>
        <v>1297993.0530395487</v>
      </c>
      <c r="G76" s="15">
        <v>0</v>
      </c>
      <c r="H76" s="196">
        <f t="shared" si="5"/>
        <v>1477263.9604271494</v>
      </c>
      <c r="I76" s="196">
        <f t="shared" si="6"/>
        <v>1326755.1404271498</v>
      </c>
      <c r="J76" s="62"/>
      <c r="K76" s="62"/>
      <c r="L76" s="62"/>
    </row>
    <row r="77" spans="1:12" ht="15.75" customHeight="1" x14ac:dyDescent="0.3">
      <c r="A77" s="193">
        <v>49</v>
      </c>
      <c r="B77" s="17" t="s">
        <v>1011</v>
      </c>
      <c r="C77" s="82">
        <v>0</v>
      </c>
      <c r="D77" s="47">
        <f>B8*(1+B11)^3</f>
        <v>2652.2390002796551</v>
      </c>
      <c r="E77" s="47">
        <f t="shared" si="4"/>
        <v>35870.88099972035</v>
      </c>
      <c r="F77" s="47">
        <f>SUM($E$41:E77)</f>
        <v>1333863.9340392691</v>
      </c>
      <c r="G77" s="17">
        <v>0</v>
      </c>
      <c r="H77" s="196">
        <f t="shared" si="5"/>
        <v>1513134.8414268699</v>
      </c>
      <c r="I77" s="196">
        <f t="shared" si="6"/>
        <v>1362626.0214268703</v>
      </c>
      <c r="J77" s="62"/>
      <c r="K77" s="62"/>
      <c r="L77" s="62"/>
    </row>
    <row r="78" spans="1:12" ht="15.75" customHeight="1" x14ac:dyDescent="0.3">
      <c r="A78" s="188">
        <v>50</v>
      </c>
      <c r="B78" s="15" t="s">
        <v>1012</v>
      </c>
      <c r="C78" s="87">
        <v>0</v>
      </c>
      <c r="D78" s="47">
        <f>B8*(1+B11)^3</f>
        <v>2652.2390002796551</v>
      </c>
      <c r="E78" s="47">
        <f t="shared" si="4"/>
        <v>35870.88099972035</v>
      </c>
      <c r="F78" s="47">
        <f>SUM($E$41:E78)</f>
        <v>1369734.8150389895</v>
      </c>
      <c r="G78" s="15">
        <v>0</v>
      </c>
      <c r="H78" s="196">
        <f t="shared" si="5"/>
        <v>1549005.7224265903</v>
      </c>
      <c r="I78" s="196">
        <f t="shared" si="6"/>
        <v>1398496.9024265907</v>
      </c>
      <c r="J78" s="62"/>
      <c r="K78" s="62"/>
      <c r="L78" s="62"/>
    </row>
    <row r="79" spans="1:12" ht="15.75" customHeight="1" x14ac:dyDescent="0.3">
      <c r="A79" s="193">
        <v>51</v>
      </c>
      <c r="B79" s="17" t="s">
        <v>1013</v>
      </c>
      <c r="C79" s="82">
        <v>0</v>
      </c>
      <c r="D79" s="47">
        <f>B8*(1+B11)^3</f>
        <v>2652.2390002796551</v>
      </c>
      <c r="E79" s="47">
        <f t="shared" si="4"/>
        <v>35870.88099972035</v>
      </c>
      <c r="F79" s="47">
        <f>SUM($E$41:E79)</f>
        <v>1405605.69603871</v>
      </c>
      <c r="G79" s="17">
        <v>0</v>
      </c>
      <c r="H79" s="196">
        <f t="shared" si="5"/>
        <v>1584876.6034263107</v>
      </c>
      <c r="I79" s="196">
        <f t="shared" si="6"/>
        <v>1434367.7834263111</v>
      </c>
      <c r="J79" s="62"/>
      <c r="K79" s="62"/>
      <c r="L79" s="62"/>
    </row>
    <row r="80" spans="1:12" ht="15.75" customHeight="1" x14ac:dyDescent="0.3">
      <c r="A80" s="188">
        <v>52</v>
      </c>
      <c r="B80" s="15" t="s">
        <v>1014</v>
      </c>
      <c r="C80" s="87">
        <v>0</v>
      </c>
      <c r="D80" s="47">
        <f>B8*(1+B11)^3</f>
        <v>2652.2390002796551</v>
      </c>
      <c r="E80" s="47">
        <f t="shared" si="4"/>
        <v>35870.88099972035</v>
      </c>
      <c r="F80" s="47">
        <f>SUM($E$41:E80)</f>
        <v>1441476.5770384304</v>
      </c>
      <c r="G80" s="213">
        <v>0</v>
      </c>
      <c r="H80" s="196">
        <f t="shared" si="5"/>
        <v>1620747.4844260311</v>
      </c>
      <c r="I80" s="196">
        <f t="shared" si="6"/>
        <v>1470238.6644260315</v>
      </c>
      <c r="J80" s="62"/>
      <c r="K80" s="62"/>
      <c r="L80" s="62"/>
    </row>
    <row r="81" spans="1:12" ht="15.75" customHeight="1" x14ac:dyDescent="0.3">
      <c r="A81" s="193">
        <v>53</v>
      </c>
      <c r="B81" s="17" t="s">
        <v>1015</v>
      </c>
      <c r="C81" s="82">
        <v>0</v>
      </c>
      <c r="D81" s="47">
        <f>B8*(1+B11)^3</f>
        <v>2652.2390002796551</v>
      </c>
      <c r="E81" s="47">
        <f t="shared" si="4"/>
        <v>35870.88099972035</v>
      </c>
      <c r="F81" s="47">
        <f>SUM($E$41:E81)</f>
        <v>1477347.4580381508</v>
      </c>
      <c r="G81" s="212">
        <v>0</v>
      </c>
      <c r="H81" s="196">
        <f t="shared" si="5"/>
        <v>1656618.3654257515</v>
      </c>
      <c r="I81" s="196">
        <f t="shared" si="6"/>
        <v>1506109.5454257519</v>
      </c>
      <c r="J81" s="62"/>
      <c r="K81" s="62"/>
      <c r="L81" s="62"/>
    </row>
    <row r="82" spans="1:12" ht="15.75" customHeight="1" x14ac:dyDescent="0.3">
      <c r="A82" s="211">
        <v>54</v>
      </c>
      <c r="B82" s="152" t="s">
        <v>1016</v>
      </c>
      <c r="C82" s="78">
        <v>0</v>
      </c>
      <c r="D82" s="47">
        <f>B8*(1+B11)^3</f>
        <v>2652.2390002796551</v>
      </c>
      <c r="E82" s="83">
        <f t="shared" si="4"/>
        <v>35870.88099972035</v>
      </c>
      <c r="F82" s="83">
        <f>SUM($E$41:E82)</f>
        <v>1513218.3390378712</v>
      </c>
      <c r="G82" s="173">
        <v>0</v>
      </c>
      <c r="H82" s="135">
        <f t="shared" si="5"/>
        <v>1692489.246425472</v>
      </c>
      <c r="I82" s="135">
        <f t="shared" si="6"/>
        <v>1541980.4264254724</v>
      </c>
      <c r="J82" s="62"/>
      <c r="K82" s="62"/>
      <c r="L82" s="62"/>
    </row>
    <row r="83" spans="1:12" ht="7.5" customHeight="1" x14ac:dyDescent="0.3">
      <c r="A83" s="80"/>
      <c r="B83" s="80"/>
      <c r="C83" s="214"/>
      <c r="D83" s="214"/>
      <c r="E83" s="214"/>
      <c r="F83" s="214"/>
      <c r="G83" s="214"/>
      <c r="H83" s="214"/>
      <c r="I83" s="62"/>
      <c r="J83" s="62"/>
      <c r="K83" s="62"/>
      <c r="L83" s="62"/>
    </row>
    <row r="84" spans="1:12" ht="18" customHeight="1" x14ac:dyDescent="0.3">
      <c r="A84" s="231" t="s">
        <v>1017</v>
      </c>
      <c r="B84" s="231"/>
      <c r="C84" s="231"/>
      <c r="D84" s="231"/>
      <c r="E84" s="231"/>
      <c r="F84" s="231"/>
      <c r="G84" s="231"/>
      <c r="H84" s="231"/>
      <c r="I84" s="231"/>
      <c r="J84" s="62"/>
      <c r="K84" s="62"/>
      <c r="L84" s="62"/>
    </row>
    <row r="85" spans="1:12" ht="27.75" customHeight="1" x14ac:dyDescent="0.3">
      <c r="A85" s="1" t="s">
        <v>1018</v>
      </c>
      <c r="B85" s="1" t="s">
        <v>1019</v>
      </c>
      <c r="C85" s="217" t="s">
        <v>969</v>
      </c>
      <c r="D85" s="217" t="s">
        <v>970</v>
      </c>
      <c r="E85" s="217" t="s">
        <v>1020</v>
      </c>
      <c r="F85" s="217" t="s">
        <v>1021</v>
      </c>
      <c r="G85" s="217" t="s">
        <v>1022</v>
      </c>
      <c r="H85" s="217" t="s">
        <v>1023</v>
      </c>
      <c r="I85" s="1" t="s">
        <v>288</v>
      </c>
      <c r="J85" s="62"/>
      <c r="K85" s="62"/>
      <c r="L85" s="62"/>
    </row>
    <row r="86" spans="1:12" ht="19.5" customHeight="1" x14ac:dyDescent="0.3">
      <c r="A86" s="8" t="s">
        <v>694</v>
      </c>
      <c r="B86" s="8" t="s">
        <v>1024</v>
      </c>
      <c r="C86" s="218">
        <f>SUM(C18:C23)</f>
        <v>209324.42</v>
      </c>
      <c r="D86" s="218">
        <f>SUM(D18:D23)</f>
        <v>11362.51</v>
      </c>
      <c r="E86" s="26" t="s">
        <v>1025</v>
      </c>
      <c r="F86" s="218">
        <f>SUM(F18:F23)</f>
        <v>52303.31</v>
      </c>
      <c r="G86" s="219">
        <f>I24</f>
        <v>-63665.82</v>
      </c>
      <c r="H86" s="219">
        <f>I24</f>
        <v>-63665.82</v>
      </c>
      <c r="I86" s="117" t="s">
        <v>1026</v>
      </c>
    </row>
    <row r="87" spans="1:12" ht="19.5" customHeight="1" x14ac:dyDescent="0.3">
      <c r="A87" s="31" t="s">
        <v>698</v>
      </c>
      <c r="B87" s="31" t="s">
        <v>1027</v>
      </c>
      <c r="C87" s="220">
        <f>SUM(C30:C35)</f>
        <v>38121.19</v>
      </c>
      <c r="D87" s="220">
        <f>SUM(D30:D35)</f>
        <v>13746.622612398602</v>
      </c>
      <c r="E87" s="220">
        <f>38523.12*6-SUM(D30:D35)-SUM(C30:C35)</f>
        <v>179270.90738760142</v>
      </c>
      <c r="F87" s="220">
        <f>SUM(F30:F35)</f>
        <v>86843</v>
      </c>
      <c r="G87" s="221">
        <f>I36</f>
        <v>28762.087387601416</v>
      </c>
      <c r="H87" s="221">
        <f>I36</f>
        <v>28762.087387601416</v>
      </c>
      <c r="I87" s="222" t="s">
        <v>1028</v>
      </c>
    </row>
    <row r="88" spans="1:12" ht="19.5" customHeight="1" x14ac:dyDescent="0.3">
      <c r="A88" s="43" t="s">
        <v>1029</v>
      </c>
      <c r="B88" s="43" t="s">
        <v>1030</v>
      </c>
      <c r="C88" s="213">
        <f>SUM(C41:C46)</f>
        <v>0</v>
      </c>
      <c r="D88" s="168">
        <f>SUM(D41:D46)</f>
        <v>13746.622612398602</v>
      </c>
      <c r="E88" s="168">
        <f>38523.12*6-SUM(D41:D46)</f>
        <v>217392.09738760142</v>
      </c>
      <c r="F88" s="15" t="s">
        <v>354</v>
      </c>
      <c r="G88" s="223">
        <f>38523.12*6-SUM(D41:D46)</f>
        <v>217392.09738760142</v>
      </c>
      <c r="H88" s="224">
        <f>I36+G88</f>
        <v>246154.18477520283</v>
      </c>
    </row>
    <row r="89" spans="1:12" ht="19.5" customHeight="1" x14ac:dyDescent="0.3">
      <c r="A89" s="48" t="s">
        <v>1031</v>
      </c>
      <c r="B89" s="48" t="s">
        <v>1032</v>
      </c>
      <c r="C89" s="213">
        <f>SUM(C47:C58)</f>
        <v>0</v>
      </c>
      <c r="D89" s="168">
        <f>SUM(D47:D58)</f>
        <v>28867.90748603706</v>
      </c>
      <c r="E89" s="168">
        <f>38523.12*12-SUM(D47:D58)</f>
        <v>433409.532513963</v>
      </c>
      <c r="F89" s="17" t="s">
        <v>354</v>
      </c>
      <c r="G89" s="223">
        <f>38523.12*12-SUM(D47:D58)</f>
        <v>433409.532513963</v>
      </c>
      <c r="H89" s="224">
        <f>H88+G89</f>
        <v>679563.71728916583</v>
      </c>
    </row>
    <row r="90" spans="1:12" ht="19.5" customHeight="1" x14ac:dyDescent="0.3">
      <c r="A90" s="43" t="s">
        <v>1033</v>
      </c>
      <c r="B90" s="43" t="s">
        <v>1034</v>
      </c>
      <c r="C90" s="213">
        <f>SUM(C59:C70)</f>
        <v>0</v>
      </c>
      <c r="D90" s="168">
        <f>SUM(D59:D70)</f>
        <v>30311.302860338907</v>
      </c>
      <c r="E90" s="168">
        <f>38523.12*12-SUM(D59:D70)</f>
        <v>431966.13713966118</v>
      </c>
      <c r="F90" s="15" t="s">
        <v>354</v>
      </c>
      <c r="G90" s="223">
        <f>38523.12*12-SUM(D59:D70)</f>
        <v>431966.13713966118</v>
      </c>
      <c r="H90" s="224">
        <f>H89+G90</f>
        <v>1111529.8544288271</v>
      </c>
    </row>
    <row r="91" spans="1:12" ht="19.5" customHeight="1" x14ac:dyDescent="0.3">
      <c r="A91" s="48" t="s">
        <v>1035</v>
      </c>
      <c r="B91" s="48" t="s">
        <v>1036</v>
      </c>
      <c r="C91" s="213">
        <f>SUM(C71:C82)</f>
        <v>0</v>
      </c>
      <c r="D91" s="168">
        <f>SUM(D71:D82)</f>
        <v>31826.868003355867</v>
      </c>
      <c r="E91" s="168">
        <f>38523.12*12-SUM(D71:D82)</f>
        <v>430450.5719966442</v>
      </c>
      <c r="F91" s="17" t="s">
        <v>354</v>
      </c>
      <c r="G91" s="223">
        <f>38523.12*12-SUM(D71:D82)</f>
        <v>430450.5719966442</v>
      </c>
      <c r="H91" s="224">
        <f>H90+G91</f>
        <v>1541980.4264254712</v>
      </c>
    </row>
    <row r="92" spans="1:12" ht="27.75" customHeight="1" x14ac:dyDescent="0.3">
      <c r="A92" s="34" t="s">
        <v>278</v>
      </c>
      <c r="B92" s="34" t="s">
        <v>1037</v>
      </c>
      <c r="C92" s="1"/>
      <c r="D92" s="1"/>
      <c r="E92" s="1"/>
      <c r="F92" s="225">
        <f>SUM(F86:F87)</f>
        <v>139146.31</v>
      </c>
      <c r="G92" s="1"/>
      <c r="H92" s="226">
        <f>I82</f>
        <v>1541980.4264254724</v>
      </c>
      <c r="I92" s="1"/>
    </row>
  </sheetData>
  <mergeCells count="20">
    <mergeCell ref="A1:I1"/>
    <mergeCell ref="A2:I2"/>
    <mergeCell ref="A4:I4"/>
    <mergeCell ref="C5:I5"/>
    <mergeCell ref="C6:I6"/>
    <mergeCell ref="C7:I7"/>
    <mergeCell ref="C8:I8"/>
    <mergeCell ref="C9:I9"/>
    <mergeCell ref="C10:I10"/>
    <mergeCell ref="C11:I11"/>
    <mergeCell ref="C12:I12"/>
    <mergeCell ref="C13:I13"/>
    <mergeCell ref="A15:I15"/>
    <mergeCell ref="A16:I16"/>
    <mergeCell ref="A25:I25"/>
    <mergeCell ref="A27:I27"/>
    <mergeCell ref="A28:I28"/>
    <mergeCell ref="A38:I38"/>
    <mergeCell ref="A39:I39"/>
    <mergeCell ref="A84:I8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5"/>
  <sheetViews>
    <sheetView showGridLines="0" zoomScaleNormal="100" workbookViewId="0"/>
  </sheetViews>
  <sheetFormatPr defaultColWidth="8.6640625" defaultRowHeight="14.4" x14ac:dyDescent="0.3"/>
  <cols>
    <col min="1" max="1" width="28" customWidth="1"/>
    <col min="2" max="10" width="14" customWidth="1"/>
  </cols>
  <sheetData>
    <row r="1" spans="1:10" ht="27.75" customHeight="1" x14ac:dyDescent="0.3">
      <c r="A1" s="254" t="s">
        <v>1038</v>
      </c>
      <c r="B1" s="254"/>
      <c r="C1" s="254"/>
      <c r="D1" s="254"/>
      <c r="E1" s="254"/>
      <c r="F1" s="254"/>
      <c r="G1" s="254"/>
      <c r="H1" s="254"/>
      <c r="I1" s="254"/>
      <c r="J1" s="254"/>
    </row>
    <row r="2" spans="1:10" ht="12.75" customHeight="1" x14ac:dyDescent="0.3">
      <c r="A2" s="255" t="s">
        <v>1039</v>
      </c>
      <c r="B2" s="255"/>
      <c r="C2" s="255"/>
      <c r="D2" s="255"/>
      <c r="E2" s="255"/>
      <c r="F2" s="255"/>
      <c r="G2" s="255"/>
      <c r="H2" s="255"/>
      <c r="I2" s="255"/>
      <c r="J2" s="255"/>
    </row>
    <row r="4" spans="1:10" ht="18" customHeight="1" x14ac:dyDescent="0.3">
      <c r="A4" s="256" t="s">
        <v>1040</v>
      </c>
      <c r="B4" s="256"/>
      <c r="C4" s="256"/>
      <c r="D4" s="256"/>
      <c r="E4" s="256"/>
      <c r="F4" s="256"/>
      <c r="G4" s="256"/>
      <c r="H4" s="256"/>
      <c r="I4" s="256"/>
      <c r="J4" s="256"/>
    </row>
    <row r="5" spans="1:10" ht="48" customHeight="1" x14ac:dyDescent="0.3">
      <c r="A5" s="3" t="s">
        <v>1041</v>
      </c>
      <c r="B5" s="295" t="s">
        <v>1042</v>
      </c>
      <c r="C5" s="295"/>
      <c r="D5" s="295"/>
      <c r="E5" s="295"/>
      <c r="F5" s="295"/>
      <c r="G5" s="295"/>
      <c r="H5" s="295"/>
      <c r="I5" s="295"/>
      <c r="J5" s="295"/>
    </row>
    <row r="6" spans="1:10" ht="48" customHeight="1" x14ac:dyDescent="0.3">
      <c r="A6" s="3" t="s">
        <v>1043</v>
      </c>
      <c r="B6" s="295" t="s">
        <v>1044</v>
      </c>
      <c r="C6" s="295"/>
      <c r="D6" s="295"/>
      <c r="E6" s="295"/>
      <c r="F6" s="295"/>
      <c r="G6" s="295"/>
      <c r="H6" s="295"/>
      <c r="I6" s="295"/>
      <c r="J6" s="295"/>
    </row>
    <row r="7" spans="1:10" ht="48" customHeight="1" x14ac:dyDescent="0.3">
      <c r="A7" s="3" t="s">
        <v>1045</v>
      </c>
      <c r="B7" s="295" t="s">
        <v>1046</v>
      </c>
      <c r="C7" s="295"/>
      <c r="D7" s="295"/>
      <c r="E7" s="295"/>
      <c r="F7" s="295"/>
      <c r="G7" s="295"/>
      <c r="H7" s="295"/>
      <c r="I7" s="295"/>
      <c r="J7" s="295"/>
    </row>
    <row r="8" spans="1:10" ht="48" customHeight="1" x14ac:dyDescent="0.3">
      <c r="A8" s="3" t="s">
        <v>1047</v>
      </c>
      <c r="B8" s="295" t="s">
        <v>1048</v>
      </c>
      <c r="C8" s="295"/>
      <c r="D8" s="295"/>
      <c r="E8" s="295"/>
      <c r="F8" s="295"/>
      <c r="G8" s="295"/>
      <c r="H8" s="295"/>
      <c r="I8" s="295"/>
      <c r="J8" s="295"/>
    </row>
    <row r="9" spans="1:10" ht="48" customHeight="1" x14ac:dyDescent="0.3">
      <c r="A9" s="3" t="s">
        <v>1049</v>
      </c>
      <c r="B9" s="295" t="s">
        <v>1050</v>
      </c>
      <c r="C9" s="295"/>
      <c r="D9" s="295"/>
      <c r="E9" s="295"/>
      <c r="F9" s="295"/>
      <c r="G9" s="295"/>
      <c r="H9" s="295"/>
      <c r="I9" s="295"/>
      <c r="J9" s="295"/>
    </row>
    <row r="10" spans="1:10" ht="48" customHeight="1" x14ac:dyDescent="0.3">
      <c r="A10" s="3" t="s">
        <v>1051</v>
      </c>
      <c r="B10" s="295" t="s">
        <v>1052</v>
      </c>
      <c r="C10" s="295"/>
      <c r="D10" s="295"/>
      <c r="E10" s="295"/>
      <c r="F10" s="295"/>
      <c r="G10" s="295"/>
      <c r="H10" s="295"/>
      <c r="I10" s="295"/>
      <c r="J10" s="295"/>
    </row>
    <row r="11" spans="1:10" ht="48" customHeight="1" x14ac:dyDescent="0.3">
      <c r="A11" s="3" t="s">
        <v>1053</v>
      </c>
      <c r="B11" s="295" t="s">
        <v>1054</v>
      </c>
      <c r="C11" s="295"/>
      <c r="D11" s="295"/>
      <c r="E11" s="295"/>
      <c r="F11" s="295"/>
      <c r="G11" s="295"/>
      <c r="H11" s="295"/>
      <c r="I11" s="295"/>
      <c r="J11" s="295"/>
    </row>
    <row r="13" spans="1:10" ht="18" customHeight="1" x14ac:dyDescent="0.3">
      <c r="A13" s="251" t="s">
        <v>1055</v>
      </c>
      <c r="B13" s="251"/>
      <c r="C13" s="251"/>
      <c r="D13" s="251"/>
      <c r="E13" s="251"/>
      <c r="F13" s="251"/>
      <c r="G13" s="251"/>
      <c r="H13" s="251"/>
      <c r="I13" s="251"/>
      <c r="J13" s="251"/>
    </row>
    <row r="14" spans="1:10" ht="48" customHeight="1" x14ac:dyDescent="0.3">
      <c r="A14" s="3" t="s">
        <v>1056</v>
      </c>
      <c r="B14" s="295" t="s">
        <v>1057</v>
      </c>
      <c r="C14" s="295"/>
      <c r="D14" s="295"/>
      <c r="E14" s="295"/>
      <c r="F14" s="295"/>
      <c r="G14" s="295"/>
      <c r="H14" s="295"/>
      <c r="I14" s="295"/>
      <c r="J14" s="295"/>
    </row>
    <row r="15" spans="1:10" ht="48" customHeight="1" x14ac:dyDescent="0.3">
      <c r="A15" s="3" t="s">
        <v>1058</v>
      </c>
      <c r="B15" s="295" t="s">
        <v>1059</v>
      </c>
      <c r="C15" s="295"/>
      <c r="D15" s="295"/>
      <c r="E15" s="295"/>
      <c r="F15" s="295"/>
      <c r="G15" s="295"/>
      <c r="H15" s="295"/>
      <c r="I15" s="295"/>
      <c r="J15" s="295"/>
    </row>
    <row r="16" spans="1:10" ht="48" customHeight="1" x14ac:dyDescent="0.3">
      <c r="A16" s="3" t="s">
        <v>1060</v>
      </c>
      <c r="B16" s="295" t="s">
        <v>1061</v>
      </c>
      <c r="C16" s="295"/>
      <c r="D16" s="295"/>
      <c r="E16" s="295"/>
      <c r="F16" s="295"/>
      <c r="G16" s="295"/>
      <c r="H16" s="295"/>
      <c r="I16" s="295"/>
      <c r="J16" s="295"/>
    </row>
    <row r="17" spans="1:10" ht="48" customHeight="1" x14ac:dyDescent="0.3">
      <c r="A17" s="3" t="s">
        <v>1062</v>
      </c>
      <c r="B17" s="295" t="s">
        <v>1063</v>
      </c>
      <c r="C17" s="295"/>
      <c r="D17" s="295"/>
      <c r="E17" s="295"/>
      <c r="F17" s="295"/>
      <c r="G17" s="295"/>
      <c r="H17" s="295"/>
      <c r="I17" s="295"/>
      <c r="J17" s="295"/>
    </row>
    <row r="18" spans="1:10" ht="48" customHeight="1" x14ac:dyDescent="0.3">
      <c r="A18" s="3" t="s">
        <v>1064</v>
      </c>
      <c r="B18" s="295" t="s">
        <v>1065</v>
      </c>
      <c r="C18" s="295"/>
      <c r="D18" s="295"/>
      <c r="E18" s="295"/>
      <c r="F18" s="295"/>
      <c r="G18" s="295"/>
      <c r="H18" s="295"/>
      <c r="I18" s="295"/>
      <c r="J18" s="295"/>
    </row>
    <row r="19" spans="1:10" ht="48" customHeight="1" x14ac:dyDescent="0.3">
      <c r="A19" s="3" t="s">
        <v>1066</v>
      </c>
      <c r="B19" s="295" t="s">
        <v>1067</v>
      </c>
      <c r="C19" s="295"/>
      <c r="D19" s="295"/>
      <c r="E19" s="295"/>
      <c r="F19" s="295"/>
      <c r="G19" s="295"/>
      <c r="H19" s="295"/>
      <c r="I19" s="295"/>
      <c r="J19" s="295"/>
    </row>
    <row r="20" spans="1:10" ht="48" customHeight="1" x14ac:dyDescent="0.3">
      <c r="A20" s="3" t="s">
        <v>1068</v>
      </c>
      <c r="B20" s="295" t="s">
        <v>1069</v>
      </c>
      <c r="C20" s="295"/>
      <c r="D20" s="295"/>
      <c r="E20" s="295"/>
      <c r="F20" s="295"/>
      <c r="G20" s="295"/>
      <c r="H20" s="295"/>
      <c r="I20" s="295"/>
      <c r="J20" s="295"/>
    </row>
    <row r="21" spans="1:10" ht="48" customHeight="1" x14ac:dyDescent="0.3">
      <c r="A21" s="3" t="s">
        <v>1070</v>
      </c>
      <c r="B21" s="295" t="s">
        <v>1071</v>
      </c>
      <c r="C21" s="295"/>
      <c r="D21" s="295"/>
      <c r="E21" s="295"/>
      <c r="F21" s="295"/>
      <c r="G21" s="295"/>
      <c r="H21" s="295"/>
      <c r="I21" s="295"/>
      <c r="J21" s="295"/>
    </row>
    <row r="23" spans="1:10" ht="18" customHeight="1" x14ac:dyDescent="0.3">
      <c r="A23" s="286" t="s">
        <v>1072</v>
      </c>
      <c r="B23" s="286"/>
      <c r="C23" s="286"/>
      <c r="D23" s="286"/>
      <c r="E23" s="286"/>
      <c r="F23" s="286"/>
      <c r="G23" s="286"/>
      <c r="H23" s="286"/>
      <c r="I23" s="286"/>
      <c r="J23" s="286"/>
    </row>
    <row r="24" spans="1:10" ht="48" customHeight="1" x14ac:dyDescent="0.3">
      <c r="A24" s="3" t="s">
        <v>1073</v>
      </c>
      <c r="B24" s="295" t="s">
        <v>1074</v>
      </c>
      <c r="C24" s="295"/>
      <c r="D24" s="295"/>
      <c r="E24" s="295"/>
      <c r="F24" s="295"/>
      <c r="G24" s="295"/>
      <c r="H24" s="295"/>
      <c r="I24" s="295"/>
      <c r="J24" s="295"/>
    </row>
    <row r="25" spans="1:10" ht="48" customHeight="1" x14ac:dyDescent="0.3">
      <c r="A25" s="3" t="s">
        <v>1075</v>
      </c>
      <c r="B25" s="295" t="s">
        <v>1076</v>
      </c>
      <c r="C25" s="295"/>
      <c r="D25" s="295"/>
      <c r="E25" s="295"/>
      <c r="F25" s="295"/>
      <c r="G25" s="295"/>
      <c r="H25" s="295"/>
      <c r="I25" s="295"/>
      <c r="J25" s="295"/>
    </row>
    <row r="26" spans="1:10" ht="48" customHeight="1" x14ac:dyDescent="0.3">
      <c r="A26" s="3" t="s">
        <v>1077</v>
      </c>
      <c r="B26" s="295" t="s">
        <v>1078</v>
      </c>
      <c r="C26" s="295"/>
      <c r="D26" s="295"/>
      <c r="E26" s="295"/>
      <c r="F26" s="295"/>
      <c r="G26" s="295"/>
      <c r="H26" s="295"/>
      <c r="I26" s="295"/>
      <c r="J26" s="295"/>
    </row>
    <row r="27" spans="1:10" ht="48" customHeight="1" x14ac:dyDescent="0.3">
      <c r="A27" s="3" t="s">
        <v>442</v>
      </c>
      <c r="B27" s="295" t="s">
        <v>1079</v>
      </c>
      <c r="C27" s="295"/>
      <c r="D27" s="295"/>
      <c r="E27" s="295"/>
      <c r="F27" s="295"/>
      <c r="G27" s="295"/>
      <c r="H27" s="295"/>
      <c r="I27" s="295"/>
      <c r="J27" s="295"/>
    </row>
    <row r="29" spans="1:10" ht="18" customHeight="1" x14ac:dyDescent="0.3">
      <c r="A29" s="245" t="s">
        <v>1080</v>
      </c>
      <c r="B29" s="245"/>
      <c r="C29" s="245"/>
      <c r="D29" s="245"/>
      <c r="E29" s="245"/>
      <c r="F29" s="245"/>
      <c r="G29" s="245"/>
      <c r="H29" s="245"/>
      <c r="I29" s="245"/>
      <c r="J29" s="245"/>
    </row>
    <row r="30" spans="1:10" ht="48" customHeight="1" x14ac:dyDescent="0.3">
      <c r="A30" s="3" t="s">
        <v>1081</v>
      </c>
      <c r="B30" s="295" t="s">
        <v>1082</v>
      </c>
      <c r="C30" s="295"/>
      <c r="D30" s="295"/>
      <c r="E30" s="295"/>
      <c r="F30" s="295"/>
      <c r="G30" s="295"/>
      <c r="H30" s="295"/>
      <c r="I30" s="295"/>
      <c r="J30" s="295"/>
    </row>
    <row r="31" spans="1:10" ht="48" customHeight="1" x14ac:dyDescent="0.3">
      <c r="A31" s="3" t="s">
        <v>1083</v>
      </c>
      <c r="B31" s="295" t="s">
        <v>1084</v>
      </c>
      <c r="C31" s="295"/>
      <c r="D31" s="295"/>
      <c r="E31" s="295"/>
      <c r="F31" s="295"/>
      <c r="G31" s="295"/>
      <c r="H31" s="295"/>
      <c r="I31" s="295"/>
      <c r="J31" s="295"/>
    </row>
    <row r="32" spans="1:10" ht="48" customHeight="1" x14ac:dyDescent="0.3">
      <c r="A32" s="3" t="s">
        <v>1085</v>
      </c>
      <c r="B32" s="295" t="s">
        <v>1086</v>
      </c>
      <c r="C32" s="295"/>
      <c r="D32" s="295"/>
      <c r="E32" s="295"/>
      <c r="F32" s="295"/>
      <c r="G32" s="295"/>
      <c r="H32" s="295"/>
      <c r="I32" s="295"/>
      <c r="J32" s="295"/>
    </row>
    <row r="33" spans="1:10" ht="48" customHeight="1" x14ac:dyDescent="0.3">
      <c r="A33" s="3" t="s">
        <v>1087</v>
      </c>
      <c r="B33" s="295" t="s">
        <v>1088</v>
      </c>
      <c r="C33" s="295"/>
      <c r="D33" s="295"/>
      <c r="E33" s="295"/>
      <c r="F33" s="295"/>
      <c r="G33" s="295"/>
      <c r="H33" s="295"/>
      <c r="I33" s="295"/>
      <c r="J33" s="295"/>
    </row>
    <row r="34" spans="1:10" ht="48" customHeight="1" x14ac:dyDescent="0.3">
      <c r="A34" s="3" t="s">
        <v>1089</v>
      </c>
      <c r="B34" s="295" t="s">
        <v>1090</v>
      </c>
      <c r="C34" s="295"/>
      <c r="D34" s="295"/>
      <c r="E34" s="295"/>
      <c r="F34" s="295"/>
      <c r="G34" s="295"/>
      <c r="H34" s="295"/>
      <c r="I34" s="295"/>
      <c r="J34" s="295"/>
    </row>
    <row r="35" spans="1:10" ht="48" customHeight="1" x14ac:dyDescent="0.3">
      <c r="A35" s="3" t="s">
        <v>1091</v>
      </c>
      <c r="B35" s="295" t="s">
        <v>1092</v>
      </c>
      <c r="C35" s="295"/>
      <c r="D35" s="295"/>
      <c r="E35" s="295"/>
      <c r="F35" s="295"/>
      <c r="G35" s="295"/>
      <c r="H35" s="295"/>
      <c r="I35" s="295"/>
      <c r="J35" s="295"/>
    </row>
  </sheetData>
  <mergeCells count="31">
    <mergeCell ref="A1:J1"/>
    <mergeCell ref="A2:J2"/>
    <mergeCell ref="A4:J4"/>
    <mergeCell ref="B5:J5"/>
    <mergeCell ref="B6:J6"/>
    <mergeCell ref="B7:J7"/>
    <mergeCell ref="B8:J8"/>
    <mergeCell ref="B9:J9"/>
    <mergeCell ref="B10:J10"/>
    <mergeCell ref="B11:J11"/>
    <mergeCell ref="A13:J13"/>
    <mergeCell ref="B14:J14"/>
    <mergeCell ref="B15:J15"/>
    <mergeCell ref="B16:J16"/>
    <mergeCell ref="B17:J17"/>
    <mergeCell ref="B18:J18"/>
    <mergeCell ref="B19:J19"/>
    <mergeCell ref="B20:J20"/>
    <mergeCell ref="B21:J21"/>
    <mergeCell ref="A23:J23"/>
    <mergeCell ref="B24:J24"/>
    <mergeCell ref="B25:J25"/>
    <mergeCell ref="B26:J26"/>
    <mergeCell ref="B27:J27"/>
    <mergeCell ref="A29:J29"/>
    <mergeCell ref="B35:J35"/>
    <mergeCell ref="B30:J30"/>
    <mergeCell ref="B31:J31"/>
    <mergeCell ref="B32:J32"/>
    <mergeCell ref="B33:J33"/>
    <mergeCell ref="B34:J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Key Assumptions</vt:lpstr>
      <vt:lpstr>Assumptions</vt:lpstr>
      <vt:lpstr>Executive Summary</vt:lpstr>
      <vt:lpstr>Cost Comparison</vt:lpstr>
      <vt:lpstr>Migration Plan &amp; Costs</vt:lpstr>
      <vt:lpstr>Risks &amp; Assumptions</vt:lpstr>
      <vt:lpstr>6-Month Migration Plan</vt:lpstr>
      <vt:lpstr>Financial Model (Jun26-Dec30)</vt:lpstr>
      <vt:lpstr>Architecture &amp; Connectivity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2026-03-25T19:58:57Z</dcterms:created>
  <dcterms:modified xsi:type="dcterms:W3CDTF">2026-03-26T20:10:03Z</dcterms:modified>
  <dc:language>en-US</dc:language>
</cp:coreProperties>
</file>