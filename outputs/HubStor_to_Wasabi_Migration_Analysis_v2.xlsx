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Cost Comparison Model" sheetId="2" state="visible" r:id="rId4"/>
    <sheet name="Migration Costs" sheetId="3" state="visible" r:id="rId5"/>
    <sheet name="Risks &amp; Caveats" sheetId="4" state="visible" r:id="rId6"/>
    <sheet name="3-Year Financial Model"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<sst xmlns="http://schemas.openxmlformats.org/spreadsheetml/2006/main" count="378" uniqueCount="338">
  <si>
    <t xml:space="preserve">WASABI HOT CLOUD STORAGE — MIGRATION BUSINESS CASE</t>
  </si>
  <si>
    <t xml:space="preserve">HubStor (Azure Blob) → Wasabi  |  Based on HubStor Master Report v5  |  March 2026</t>
  </si>
  <si>
    <t xml:space="preserve">CURRENT COST</t>
  </si>
  <si>
    <t xml:space="preserve">WASABI COST</t>
  </si>
  <si>
    <t xml:space="preserve">ANNUAL SAVING</t>
  </si>
  <si>
    <t xml:space="preserve">MIGRATION COST</t>
  </si>
  <si>
    <t xml:space="preserve">PAYBACK</t>
  </si>
  <si>
    <t xml:space="preserve">$35,523 /mo</t>
  </si>
  <si>
    <t xml:space="preserve">~$8,008 /mo</t>
  </si>
  <si>
    <t xml:space="preserve">~$330K /yr</t>
  </si>
  <si>
    <t xml:space="preserve">~$96K one-time</t>
  </si>
  <si>
    <t xml:space="preserve">~3.5 months</t>
  </si>
  <si>
    <t xml:space="preserve">$426K/yr  |  1,042 TiB</t>
  </si>
  <si>
    <t xml:space="preserve">$96K/yr  |  1 flat tier</t>
  </si>
  <si>
    <t xml:space="preserve">77% reduction</t>
  </si>
  <si>
    <t xml:space="preserve">Azure egress dominant</t>
  </si>
  <si>
    <t xml:space="preserve">Saving &gt; target by 3×</t>
  </si>
  <si>
    <t xml:space="preserve">THREE-WAY COST COMPARISON:  HubStor (Current)  vs  Wasabi  vs  AWS S3</t>
  </si>
  <si>
    <t xml:space="preserve">Provider</t>
  </si>
  <si>
    <t xml:space="preserve">Model</t>
  </si>
  <si>
    <t xml:space="preserve">$/TB/month</t>
  </si>
  <si>
    <t xml:space="preserve">Monthly Cost</t>
  </si>
  <si>
    <t xml:space="preserve">Annual Cost</t>
  </si>
  <si>
    <t xml:space="preserve">vs HubStor Saving/yr</t>
  </si>
  <si>
    <t xml:space="preserve">% Reduction</t>
  </si>
  <si>
    <t xml:space="preserve">Egress Fee?</t>
  </si>
  <si>
    <t xml:space="preserve">API Fee?</t>
  </si>
  <si>
    <t xml:space="preserve">Tiers?</t>
  </si>
  <si>
    <t xml:space="preserve">Min Retention</t>
  </si>
  <si>
    <t xml:space="preserve">HubStor (Azure Blob)</t>
  </si>
  <si>
    <t xml:space="preserve">Subscription + Blob</t>
  </si>
  <si>
    <t xml:space="preserve">--</t>
  </si>
  <si>
    <t xml:space="preserve">0.0%</t>
  </si>
  <si>
    <t xml:space="preserve">YES ($0.05-0.087/GB)</t>
  </si>
  <si>
    <t xml:space="preserve">YES</t>
  </si>
  <si>
    <t xml:space="preserve">5 (Std/Hot/Cool/Cold/Archive)</t>
  </si>
  <si>
    <t xml:space="preserve">None</t>
  </si>
  <si>
    <t xml:space="preserve">Wasabi Hot (PAYG)</t>
  </si>
  <si>
    <t xml:space="preserve">Pay-as-you-go</t>
  </si>
  <si>
    <t xml:space="preserve">$6.99</t>
  </si>
  <si>
    <t xml:space="preserve">77.5%</t>
  </si>
  <si>
    <t xml:space="preserve">FREE (≤ storage vol)</t>
  </si>
  <si>
    <t xml:space="preserve">FREE</t>
  </si>
  <si>
    <t xml:space="preserve">1 (Hot only)</t>
  </si>
  <si>
    <t xml:space="preserve">90 days</t>
  </si>
  <si>
    <t xml:space="preserve">Wasabi RCS 3-yr est.</t>
  </si>
  <si>
    <t xml:space="preserve">Reserved (3yr contract)</t>
  </si>
  <si>
    <t xml:space="preserve">~$5.10</t>
  </si>
  <si>
    <t xml:space="preserve">83.5%</t>
  </si>
  <si>
    <t xml:space="preserve">30 days</t>
  </si>
  <si>
    <t xml:space="preserve">AWS S3 (tiered)</t>
  </si>
  <si>
    <t xml:space="preserve">Pay-as-you-go tiered</t>
  </si>
  <si>
    <t xml:space="preserve">$0.001-0.023</t>
  </si>
  <si>
    <t xml:space="preserve">77.1%</t>
  </si>
  <si>
    <t xml:space="preserve">YES ($0.09/GB+)</t>
  </si>
  <si>
    <t xml:space="preserve">5 tiers (different rates)</t>
  </si>
  <si>
    <t xml:space="preserve">Varies</t>
  </si>
  <si>
    <t xml:space="preserve">WHY WASABI IS DIFFERENT — KEY MODEL DISTINCTIONS</t>
  </si>
  <si>
    <t xml:space="preserve">Flat single tier</t>
  </si>
  <si>
    <t xml:space="preserve">ONE storage class for all data — no Standard, Cool, Cold, Archive complexity. Everything stored as 'hot' regardless of access frequency.</t>
  </si>
  <si>
    <t xml:space="preserve">Zero egress fees</t>
  </si>
  <si>
    <t xml:space="preserve">Free egress as long as monthly downloads ≤ total stored volume. For 1,042 TiB stored, you can download up to 1,042 TiB/month for free.</t>
  </si>
  <si>
    <t xml:space="preserve">Zero API fees</t>
  </si>
  <si>
    <t xml:space="preserve">PUT, GET, LIST, DELETE — all API requests are free. No per-object charge. S3-compatible API works with all existing S3 tools.</t>
  </si>
  <si>
    <t xml:space="preserve">90-day min retention (PAYG)</t>
  </si>
  <si>
    <t xml:space="preserve">⚠  If you delete an object before it has been stored for 90 days, you are charged for the remaining days. Critical consideration for data that gets replaced.</t>
  </si>
  <si>
    <t xml:space="preserve">30-day min retention (RCS)</t>
  </si>
  <si>
    <t xml:space="preserve">Reserved Capacity contracts reduce minimum retention to 30 days — better for dynamic/replaced data.</t>
  </si>
  <si>
    <t xml:space="preserve">Same price all regions</t>
  </si>
  <si>
    <t xml:space="preserve">$6.99/TB/mo across US and Europe. No premium for EU regions. Simplifies multi-region budgeting.</t>
  </si>
  <si>
    <t xml:space="preserve">S3-compatible API</t>
  </si>
  <si>
    <t xml:space="preserve">100% compatible with AWS S3 API. File Gateway works as-is. Rclone, DataSync alternatives (Rclone), and all backup tools integrate natively.</t>
  </si>
  <si>
    <t xml:space="preserve">No storage tiers = no transitions</t>
  </si>
  <si>
    <t xml:space="preserve">Zero lifecycle transition fees. No concept of 'move to archive' — all objects stay in the same tier permanently.</t>
  </si>
  <si>
    <t xml:space="preserve">WASABI vs HUBSTOR — DETAILED MONTHLY COST MODEL</t>
  </si>
  <si>
    <t xml:space="preserve">Wasabi pricing: $6.99/TB/mo flat, no egress, no API fees  |  Blue = adjustable inputs  |  Source: wasabi.com/pricing</t>
  </si>
  <si>
    <t xml:space="preserve">WASABI PRICING INPUTS</t>
  </si>
  <si>
    <t xml:space="preserve">Parameter</t>
  </si>
  <si>
    <t xml:space="preserve">Value</t>
  </si>
  <si>
    <t xml:space="preserve">Unit</t>
  </si>
  <si>
    <t xml:space="preserve">Notes</t>
  </si>
  <si>
    <t xml:space="preserve">Wasabi Pay-as-You-Go rate</t>
  </si>
  <si>
    <t xml:space="preserve">US &amp; Europe — same price, all regions (wasabi.com/pricing, 2026)</t>
  </si>
  <si>
    <t xml:space="preserve">Wasabi per-GB rate</t>
  </si>
  <si>
    <t xml:space="preserve">$/GB/month</t>
  </si>
  <si>
    <t xml:space="preserve">Egress fee</t>
  </si>
  <si>
    <t xml:space="preserve">$/GB</t>
  </si>
  <si>
    <t xml:space="preserve">FREE (monthly egress ≤ active storage)</t>
  </si>
  <si>
    <t xml:space="preserve">API request fee (PUT/GET/LIST)</t>
  </si>
  <si>
    <t xml:space="preserve">$/1K requests</t>
  </si>
  <si>
    <t xml:space="preserve">FREE — no charge</t>
  </si>
  <si>
    <t xml:space="preserve">Lifecycle transition fee</t>
  </si>
  <si>
    <t xml:space="preserve">$/1K objects</t>
  </si>
  <si>
    <t xml:space="preserve">FREE — no tiers, no transitions</t>
  </si>
  <si>
    <t xml:space="preserve">Minimum retention (PAYG)</t>
  </si>
  <si>
    <t xml:space="preserve">days</t>
  </si>
  <si>
    <t xml:space="preserve">Objects deleted before 90 days still charged for remainder</t>
  </si>
  <si>
    <t xml:space="preserve">Minimum retention (RCS 3yr)</t>
  </si>
  <si>
    <t xml:space="preserve">Better for dynamic data — shorter lock-in</t>
  </si>
  <si>
    <t xml:space="preserve">RCS 3-yr est. discount</t>
  </si>
  <si>
    <t xml:space="preserve">%</t>
  </si>
  <si>
    <t xml:space="preserve">~27% off list price — requires sales quote for 1,042 TiB</t>
  </si>
  <si>
    <t xml:space="preserve">STORAGE VOLUME BREAKDOWN (FROM HUBSTOR REPORT)</t>
  </si>
  <si>
    <t xml:space="preserve">Azure Tier (current)</t>
  </si>
  <si>
    <t xml:space="preserve">Usage (GiB)</t>
  </si>
  <si>
    <t xml:space="preserve">Usage (TB decimal)</t>
  </si>
  <si>
    <t xml:space="preserve">% of Total</t>
  </si>
  <si>
    <t xml:space="preserve">Mapped Wasabi Class</t>
  </si>
  <si>
    <t xml:space="preserve">Azure $/GB/mo</t>
  </si>
  <si>
    <t xml:space="preserve">Wasabi $/GB/mo</t>
  </si>
  <si>
    <t xml:space="preserve">Azure Storage Cost/mo</t>
  </si>
  <si>
    <t xml:space="preserve">HubStor Mgmt Fee/mo</t>
  </si>
  <si>
    <t xml:space="preserve">Azure Total/mo</t>
  </si>
  <si>
    <t xml:space="preserve">Wasabi Cost/mo</t>
  </si>
  <si>
    <t xml:space="preserve">Monthly Saving $</t>
  </si>
  <si>
    <t xml:space="preserve">Standard</t>
  </si>
  <si>
    <t xml:space="preserve">Wasabi Hot</t>
  </si>
  <si>
    <t xml:space="preserve">$0.020</t>
  </si>
  <si>
    <t xml:space="preserve">$0.00682</t>
  </si>
  <si>
    <t xml:space="preserve">Hot</t>
  </si>
  <si>
    <t xml:space="preserve">Cool</t>
  </si>
  <si>
    <t xml:space="preserve">$0.015</t>
  </si>
  <si>
    <t xml:space="preserve">Cold</t>
  </si>
  <si>
    <t xml:space="preserve">$0.010</t>
  </si>
  <si>
    <t xml:space="preserve">Archive</t>
  </si>
  <si>
    <t xml:space="preserve">$0.002</t>
  </si>
  <si>
    <t xml:space="preserve">TOTAL</t>
  </si>
  <si>
    <t xml:space="preserve">100.0%</t>
  </si>
  <si>
    <t xml:space="preserve">ANNUAL COST SUMMARY</t>
  </si>
  <si>
    <t xml:space="preserve">Scenario</t>
  </si>
  <si>
    <t xml:space="preserve">vs HubStor Annual Saving</t>
  </si>
  <si>
    <t xml:space="preserve">HubStor (Azure Blob) — CURRENT</t>
  </si>
  <si>
    <t xml:space="preserve">Baseline: actuals from Master Report</t>
  </si>
  <si>
    <t xml:space="preserve">Wasabi Hot — Pay-as-You-Go</t>
  </si>
  <si>
    <t xml:space="preserve">$6.99/TB/mo flat, no egress/API fees</t>
  </si>
  <si>
    <t xml:space="preserve">Wasabi Hot — RCS 3-year (est.)</t>
  </si>
  <si>
    <t xml:space="preserve">~27% discount, requires sales quote — contact Wasabi</t>
  </si>
  <si>
    <t xml:space="preserve">AWS S3 (tiered) — for comparison</t>
  </si>
  <si>
    <t xml:space="preserve">Detail in S3 workbook; included here for reference</t>
  </si>
  <si>
    <t xml:space="preserve">ONE-TIME MIGRATION COSTS — HubStor → Wasabi</t>
  </si>
  <si>
    <t xml:space="preserve">Azure Retrieval + Azure Egress + Wasabi Ingress (FREE) + Wasabi API (FREE)  |  Blue = inputs</t>
  </si>
  <si>
    <t xml:space="preserve">COST COMPONENT 1 — AZURE RETRIEVAL CHARGES</t>
  </si>
  <si>
    <t xml:space="preserve">ℹ  Standard/Hot: No retrieval fee. Cool: $0.01/GB. Cold: $0.03/GB. Archive: $0.022/GB (Standard rehydration, up to 15hr). Archive = 82% of volume — this is the critical retrieval cost.</t>
  </si>
  <si>
    <t xml:space="preserve">Azure Tier</t>
  </si>
  <si>
    <t xml:space="preserve">Volume (GiB)</t>
  </si>
  <si>
    <t xml:space="preserve">Volume (GB)</t>
  </si>
  <si>
    <t xml:space="preserve">Retrieval Rate ($/GB)</t>
  </si>
  <si>
    <t xml:space="preserve">Retrieval Cost ($)</t>
  </si>
  <si>
    <t xml:space="preserve">No retrieval fee — read freely</t>
  </si>
  <si>
    <t xml:space="preserve">Per-GB read charge</t>
  </si>
  <si>
    <t xml:space="preserve">Standard rehydration (~15hr wait per object batch)</t>
  </si>
  <si>
    <t xml:space="preserve">SUBTOTAL — AZURE RETRIEVAL</t>
  </si>
  <si>
    <t xml:space="preserve">COST COMPONENT 2 — AZURE EGRESS CHARGES (Direct to Wasabi public endpoint via internet — NOT via VPN)</t>
  </si>
  <si>
    <t xml:space="preserve">ℹ  Route traffic directly to Wasabi's S3-compatible public endpoints. VPN routing would add AWS/Azure transit inspection costs. Wasabi has endpoints in Virginia, London, Amsterdam, Frankfurt — no trans-Atlantic data movement needed.</t>
  </si>
  <si>
    <t xml:space="preserve">Region Group</t>
  </si>
  <si>
    <t xml:space="preserve">T1: ≤10TB ($/GB)</t>
  </si>
  <si>
    <t xml:space="preserve">T2: 10-50TB ($/GB)</t>
  </si>
  <si>
    <t xml:space="preserve">T3: 50-150TB ($/GB)</t>
  </si>
  <si>
    <t xml:space="preserve">T4: &gt;150TB ($/GB)</t>
  </si>
  <si>
    <t xml:space="preserve">Egress Cost ($)</t>
  </si>
  <si>
    <t xml:space="preserve">Wasabi Region Target</t>
  </si>
  <si>
    <t xml:space="preserve">US Regions (EastUS2 + WestUS2)</t>
  </si>
  <si>
    <t xml:space="preserve">Wasabi us-east-1 (Virginia) / us-west-1 (Oregon)</t>
  </si>
  <si>
    <t xml:space="preserve">EU Regions (UKSouth + WestEurope + GWC)</t>
  </si>
  <si>
    <t xml:space="preserve">Wasabi eu-west-1 (London) / eu-central-1 (Amsterdam) / eu-central-2 (Frankfurt)</t>
  </si>
  <si>
    <t xml:space="preserve">SUBTOTAL — AZURE EGRESS</t>
  </si>
  <si>
    <t xml:space="preserve">COST COMPONENT 3 — WASABI INGRESS &amp; API CHARGES</t>
  </si>
  <si>
    <t xml:space="preserve">ℹ  This is where Wasabi significantly differs from AWS S3 — ingress (PUT/write) is free, and all API calls (PUT, GET, LIST, DELETE) are free. No per-object charges regardless of file count.</t>
  </si>
  <si>
    <t xml:space="preserve">Component</t>
  </si>
  <si>
    <t xml:space="preserve">Volume</t>
  </si>
  <si>
    <t xml:space="preserve">Wasabi Rate</t>
  </si>
  <si>
    <t xml:space="preserve">Cost ($)</t>
  </si>
  <si>
    <t xml:space="preserve">AWS S3 Equivalent Cost</t>
  </si>
  <si>
    <t xml:space="preserve">Saving vs AWS S3</t>
  </si>
  <si>
    <t xml:space="preserve">Data Ingress (all tiers)</t>
  </si>
  <si>
    <t xml:space="preserve">1,145,641 GB</t>
  </si>
  <si>
    <t xml:space="preserve">$0.00 FREE</t>
  </si>
  <si>
    <t xml:space="preserve">N/A (AWS ingress free too)</t>
  </si>
  <si>
    <t xml:space="preserve">$0</t>
  </si>
  <si>
    <t xml:space="preserve">Both Wasabi and AWS S3 charge $0 for inbound data</t>
  </si>
  <si>
    <t xml:space="preserve">PUT requests — Archive objects</t>
  </si>
  <si>
    <t xml:space="preserve">~1.8M objects</t>
  </si>
  <si>
    <t xml:space="preserve">$90.40 (@ $0.05/1K) — 500MB avg</t>
  </si>
  <si>
    <t xml:space="preserve">$90</t>
  </si>
  <si>
    <t xml:space="preserve">⭐ Key differentiator vs AWS Glacier Deep Archive ($0.05/1K PUTs)</t>
  </si>
  <si>
    <t xml:space="preserve">PUT requests — Cool/IA objects</t>
  </si>
  <si>
    <t xml:space="preserve">~3.4M objects</t>
  </si>
  <si>
    <t xml:space="preserve">$33.91 (@ $0.01/1K) — Standard-IA</t>
  </si>
  <si>
    <t xml:space="preserve">$34</t>
  </si>
  <si>
    <t xml:space="preserve">Wasabi has no equivalent per-PUT fee</t>
  </si>
  <si>
    <t xml:space="preserve">PUT requests — Hot/Standard</t>
  </si>
  <si>
    <t xml:space="preserve">~1.6M objects</t>
  </si>
  <si>
    <t xml:space="preserve">$7.77 (@ $0.005/1K)</t>
  </si>
  <si>
    <t xml:space="preserve">$8</t>
  </si>
  <si>
    <t xml:space="preserve">Trivial for both</t>
  </si>
  <si>
    <t xml:space="preserve">Lifecycle transitions</t>
  </si>
  <si>
    <t xml:space="preserve">No tiers</t>
  </si>
  <si>
    <t xml:space="preserve">$0-$124 (if not PUT direct to class)</t>
  </si>
  <si>
    <t xml:space="preserve">$0-124</t>
  </si>
  <si>
    <t xml:space="preserve">Wasabi has zero tiers — no transition concept</t>
  </si>
  <si>
    <t xml:space="preserve">SUBTOTAL — WASABI INGRESS/API</t>
  </si>
  <si>
    <t xml:space="preserve">TOTAL ONE-TIME MIGRATION COST SUMMARY</t>
  </si>
  <si>
    <t xml:space="preserve">1.  Azure Retrieval Charges</t>
  </si>
  <si>
    <t xml:space="preserve">2.  Azure Egress Charges</t>
  </si>
  <si>
    <t xml:space="preserve">3.  Wasabi Ingress/API</t>
  </si>
  <si>
    <t xml:space="preserve">0</t>
  </si>
  <si>
    <t xml:space="preserve">    Contingency (10%)</t>
  </si>
  <si>
    <t xml:space="preserve">★  GRAND TOTAL — WASABI MIGRATION COST</t>
  </si>
  <si>
    <t xml:space="preserve">ROI &amp; PAYBACK ANALYSIS</t>
  </si>
  <si>
    <t xml:space="preserve">Total One-Time Migration Cost</t>
  </si>
  <si>
    <t xml:space="preserve">Monthly Cost Saving (HubStor - Wasabi)</t>
  </si>
  <si>
    <t xml:space="preserve">27515</t>
  </si>
  <si>
    <t xml:space="preserve">Payback Period (months)</t>
  </si>
  <si>
    <t xml:space="preserve">Year 1 Net Saving (12mo saving - migration)</t>
  </si>
  <si>
    <t xml:space="preserve">3-Year Total Net Saving</t>
  </si>
  <si>
    <t xml:space="preserve">RCS 3yr est. Annual Cost</t>
  </si>
  <si>
    <t xml:space="preserve">70150</t>
  </si>
  <si>
    <t xml:space="preserve">RCS 3yr Additional Annual Saving vs PAYG</t>
  </si>
  <si>
    <t xml:space="preserve">WASABI — KEY RISKS, CAVEATS &amp; ARCHITECTURAL CONSIDERATIONS</t>
  </si>
  <si>
    <t xml:space="preserve">Critical factors that differ from AWS S3  |  Must review before committing</t>
  </si>
  <si>
    <t xml:space="preserve">90-DAY MINIMUM RETENTION (PAYG)</t>
  </si>
  <si>
    <t xml:space="preserve">Policy</t>
  </si>
  <si>
    <t xml:space="preserve">Under PAYG, any object deleted before 90 days has been stored incurs a charge for the remaining days. This is 'Timed Deleted Storage' on your invoice.</t>
  </si>
  <si>
    <t xml:space="preserve">Impact for your use case</t>
  </si>
  <si>
    <t xml:space="preserve">Archive data (882 TiB, 82%): LOW RISK — archive is intended to be kept indefinitely. 90-day min is not a concern. Cool data (165 TiB): MODERATE RISK — if files are replaced/updated more frequently than every 90 days, you pay double.</t>
  </si>
  <si>
    <t xml:space="preserve">Quantified risk</t>
  </si>
  <si>
    <t xml:space="preserve">If 5% of Cool data is replaced monthly with &lt;45 days average remaining: ~$85/month extra cost. Unlikely to be material for a scientific archive use case.</t>
  </si>
  <si>
    <t xml:space="preserve">Mitigation</t>
  </si>
  <si>
    <t xml:space="preserve">Use Reserved Capacity Storage (RCS) — reduces minimum retention to 30 days. Also enables better budgeting with committed capacity.</t>
  </si>
  <si>
    <t xml:space="preserve">NO STORAGE TIERS — ALL DATA IS 'HOT'</t>
  </si>
  <si>
    <t xml:space="preserve">The trade-off</t>
  </si>
  <si>
    <t xml:space="preserve">Wasabi stores everything as hot storage at $6.99/TB regardless of how often you access it. Your 882 TiB of Archive data (currently $0.002/GB in Azure) moves to $0.00682/GB — a 3.4× price increase for that tier alone.</t>
  </si>
  <si>
    <t xml:space="preserve">Why it's still cheaper overall</t>
  </si>
  <si>
    <t xml:space="preserve">Azure charges $0.002/GB for Archive storage but HubStor adds a ~34% management fee on top, PLUS egress fees every time you retrieve data. Wasabi's flat rate with zero retrieval fees makes the math positive overall.</t>
  </si>
  <si>
    <t xml:space="preserve">Break-even analysis</t>
  </si>
  <si>
    <t xml:space="preserve">If you retrieve archive data frequently (e.g., more than ~3% of archive volume per month), Wasabi's free egress becomes a significant advantage. If retrieval is very rare, AWS Glacier Deep Archive ($0.001/GB) is marginally cheaper on storage alone.</t>
  </si>
  <si>
    <t xml:space="preserve">Recommendation</t>
  </si>
  <si>
    <t xml:space="preserve">For your workload (scientific archiving with occasional retrieval), Wasabi is the better fit. The simplicity alone removes operational overhead.</t>
  </si>
  <si>
    <t xml:space="preserve">EGRESS POLICY — FREE BUT NOT UNLIMITED</t>
  </si>
  <si>
    <t xml:space="preserve">Policy detail</t>
  </si>
  <si>
    <t xml:space="preserve">Free egress as long as monthly downloads ≤ total active storage volume. With 1,042 TiB stored, you can download up to 1,042 TiB per month at no cost.</t>
  </si>
  <si>
    <t xml:space="preserve">For your use case</t>
  </si>
  <si>
    <t xml:space="preserve">Archive retrieval for this scientific use case is likely &lt;1% of stored volume per month. With 1,042 TiB stored, free egress headroom is 1,042 TiB/month — far more than needed.</t>
  </si>
  <si>
    <t xml:space="preserve">Risk</t>
  </si>
  <si>
    <t xml:space="preserve">If Wasabi determines your usage 'imposes an unreasonable burden' they can limit or suspend service. Validated applications (Veeam, Commvault, Rclone) are explicitly exempt from API limits.</t>
  </si>
  <si>
    <t xml:space="preserve">Use a Wasabi-validated application for the File Gateway/connector layer. Rclone is validated and S3-compatible.</t>
  </si>
  <si>
    <t xml:space="preserve">REGION MAPPING &amp; DATA SOVEREIGNTY</t>
  </si>
  <si>
    <t xml:space="preserve">Available regions</t>
  </si>
  <si>
    <t xml:space="preserve">Wasabi eu-west-1 (London) → replaces Azure UKSouth. Wasabi eu-central-2 (Frankfurt) → replaces Azure GermanyWestCentral. Wasabi eu-central-1 (Amsterdam) → replaces Azure WestEurope. Wasabi us-east-1 (Virginia) → replaces Azure EastUS2.</t>
  </si>
  <si>
    <t xml:space="preserve">GDPR compliance</t>
  </si>
  <si>
    <t xml:space="preserve">German data can stay in eu-central-2 (Frankfurt, Equinix FR2). UK data stays in eu-west-1 (London, Equinix LD7). Both Wasabi regions are in the same physical data centers as many Azure regions. SOC-2, ISO 27001, PCI-DSS certified.</t>
  </si>
  <si>
    <t xml:space="preserve">No Netherlands region gap</t>
  </si>
  <si>
    <t xml:space="preserve">Wasabi eu-central-1 is Amsterdam — perfect match for Azure WestEurope (Amsterdam). Data sovereignty preserved.</t>
  </si>
  <si>
    <t xml:space="preserve">RCS geographically unrestricted</t>
  </si>
  <si>
    <t xml:space="preserve">Reserved Capacity Storage contracts are NOT geographically restricted — one contract covers all regions.</t>
  </si>
  <si>
    <t xml:space="preserve">CONNECTIVITY — STORAGE GATEWAY OPTIONS</t>
  </si>
  <si>
    <t xml:space="preserve">Wasabi is 100% S3 API compatible. AWS S3 File Gateway works with Wasabi — change the endpoint URL only. No new tools needed.</t>
  </si>
  <si>
    <t xml:space="preserve">Rclone (recommended)</t>
  </si>
  <si>
    <t xml:space="preserve">Rclone is a Wasabi-validated, open-source, S3-compatible tool. Excellent for migration (rclone copy/sync) and ongoing connector use. Better fit than DataSync for Wasabi.</t>
  </si>
  <si>
    <t xml:space="preserve">Migration tool</t>
  </si>
  <si>
    <t xml:space="preserve">For initial migration: use Rclone or CloudBerry/MSP360. NOT AWS DataSync (DataSync is AWS-specific). Rclone can read from Azure Blob and write to Wasabi simultaneously — potentially avoiding two-step migration.</t>
  </si>
  <si>
    <t xml:space="preserve">One-step migration option</t>
  </si>
  <si>
    <t xml:space="preserve">Rclone supports direct Azure Blob → Wasabi copy without intermediate download. This could ELIMINATE the Azure egress cost if run from within Azure (Azure egress is waived for compute within the same region). Verify this with your Azure rep.</t>
  </si>
  <si>
    <t xml:space="preserve">WASABI vs AWS S3 — WHICH IS BETTER FOR THIS USE CASE?</t>
  </si>
  <si>
    <t xml:space="preserve">Cost: Wasabi ~$8,008/mo vs AWS S3 ~$8,126/mo</t>
  </si>
  <si>
    <t xml:space="preserve">Wasabi is slightly cheaper for storage. But the real saving difference is in simplicity and ongoing operational cost — one tier, one price, no tier-management overhead.</t>
  </si>
  <si>
    <t xml:space="preserve">Complexity: Wasabi wins clearly</t>
  </si>
  <si>
    <t xml:space="preserve">No tier selection, no lifecycle rules to configure, no transition charges, no per-tier PUT pricing, no tier-specific retrieval fees. Single API endpoint per region.</t>
  </si>
  <si>
    <t xml:space="preserve">Retrieval speed: S3 wins for Archive</t>
  </si>
  <si>
    <t xml:space="preserve">Glacier Deep Archive takes 12-48 hours for retrieval. Wasabi is millisecond. If fast retrieval of archive data matters, Wasabi is strongly preferred.</t>
  </si>
  <si>
    <t xml:space="preserve">Compliance/Immutability: Comparable</t>
  </si>
  <si>
    <t xml:space="preserve">Both offer Object Lock / WORM storage. Wasabi's AiR (Archive Immutable Repository) is RCS-only. AWS S3 Object Lock is available on all tiers.</t>
  </si>
  <si>
    <t xml:space="preserve">Vendor risk: S3 is safer</t>
  </si>
  <si>
    <t xml:space="preserve">AWS has significantly more enterprise backing, SLA guarantees, and global infrastructure. Wasabi is a strong challenger but a smaller company. For 1+ PB of regulated scientific data, this is a factor to weigh.</t>
  </si>
  <si>
    <t xml:space="preserve">If fast archive retrieval and simplicity are priorities: WASABI. If deep archive with rare retrieval (months/years) and maximum vendor stability: AWS S3 Glacier. Both are far better than HubStor.</t>
  </si>
  <si>
    <t xml:space="preserve">3-YEAR FINANCIAL MODEL — HUBSTOR vs WASABI vs AWS S3 vs WASABI RCS</t>
  </si>
  <si>
    <t xml:space="preserve">5% annual data growth assumption  |  Wasabi pricing held flat  |  RCS 3yr = 27% discount</t>
  </si>
  <si>
    <t xml:space="preserve">Month</t>
  </si>
  <si>
    <t xml:space="preserve">Period</t>
  </si>
  <si>
    <t xml:space="preserve">HubStor ($)</t>
  </si>
  <si>
    <t xml:space="preserve">Cum. HubStor ($)</t>
  </si>
  <si>
    <t xml:space="preserve">Wasabi PAYG ($)</t>
  </si>
  <si>
    <t xml:space="preserve">Cum. Wasabi ($)</t>
  </si>
  <si>
    <t xml:space="preserve">AWS S3 ($)</t>
  </si>
  <si>
    <t xml:space="preserve">Cum. AWS ($)</t>
  </si>
  <si>
    <t xml:space="preserve">Monthly Saving (vs HubStor)</t>
  </si>
  <si>
    <t xml:space="preserve">Cum. Saving ($)</t>
  </si>
  <si>
    <t xml:space="preserve">Migration Cost ($)</t>
  </si>
  <si>
    <t xml:space="preserve">Net Cum. Saving ($)</t>
  </si>
  <si>
    <t xml:space="preserve">Y1M1</t>
  </si>
  <si>
    <t xml:space="preserve">Y1M2</t>
  </si>
  <si>
    <t xml:space="preserve">Y1M3</t>
  </si>
  <si>
    <t xml:space="preserve">Y1M4</t>
  </si>
  <si>
    <t xml:space="preserve">Y1M5</t>
  </si>
  <si>
    <t xml:space="preserve">Y1M6</t>
  </si>
  <si>
    <t xml:space="preserve">Y1M7</t>
  </si>
  <si>
    <t xml:space="preserve">Y1M8</t>
  </si>
  <si>
    <t xml:space="preserve">Y1M9</t>
  </si>
  <si>
    <t xml:space="preserve">Y1M10</t>
  </si>
  <si>
    <t xml:space="preserve">Y1M11</t>
  </si>
  <si>
    <t xml:space="preserve">Y1M12</t>
  </si>
  <si>
    <t xml:space="preserve">Y2M1</t>
  </si>
  <si>
    <t xml:space="preserve">Y2M2</t>
  </si>
  <si>
    <t xml:space="preserve">Y2M3</t>
  </si>
  <si>
    <t xml:space="preserve">Y2M4</t>
  </si>
  <si>
    <t xml:space="preserve">Y2M5</t>
  </si>
  <si>
    <t xml:space="preserve">Y2M6</t>
  </si>
  <si>
    <t xml:space="preserve">Y2M7</t>
  </si>
  <si>
    <t xml:space="preserve">Y2M8</t>
  </si>
  <si>
    <t xml:space="preserve">Y2M9</t>
  </si>
  <si>
    <t xml:space="preserve">Y2M10</t>
  </si>
  <si>
    <t xml:space="preserve">Y2M11</t>
  </si>
  <si>
    <t xml:space="preserve">Y2M12</t>
  </si>
  <si>
    <t xml:space="preserve">Y3M1</t>
  </si>
  <si>
    <t xml:space="preserve">Y3M2</t>
  </si>
  <si>
    <t xml:space="preserve">Y3M3</t>
  </si>
  <si>
    <t xml:space="preserve">Y3M4</t>
  </si>
  <si>
    <t xml:space="preserve">Y3M5</t>
  </si>
  <si>
    <t xml:space="preserve">Y3M6</t>
  </si>
  <si>
    <t xml:space="preserve">Y3M7</t>
  </si>
  <si>
    <t xml:space="preserve">Y3M8</t>
  </si>
  <si>
    <t xml:space="preserve">Y3M9</t>
  </si>
  <si>
    <t xml:space="preserve">Y3M10</t>
  </si>
  <si>
    <t xml:space="preserve">Y3M11</t>
  </si>
  <si>
    <t xml:space="preserve">Y3M12</t>
  </si>
  <si>
    <t xml:space="preserve">ANNUAL SUMMARY — ALL 4 SCENARIOS</t>
  </si>
  <si>
    <t xml:space="preserve">Year</t>
  </si>
  <si>
    <t xml:space="preserve">HubStor Annual</t>
  </si>
  <si>
    <t xml:space="preserve">Wasabi PAYG Annual</t>
  </si>
  <si>
    <t xml:space="preserve">Wasabi RCS 3yr Annual</t>
  </si>
  <si>
    <t xml:space="preserve">AWS S3 Annual</t>
  </si>
  <si>
    <t xml:space="preserve">Saving (PAYG vs HS)</t>
  </si>
  <si>
    <t xml:space="preserve">Saving (RCS vs HS)</t>
  </si>
  <si>
    <t xml:space="preserve">Saving (AWS vs HS)</t>
  </si>
  <si>
    <t xml:space="preserve">Year 1</t>
  </si>
  <si>
    <t xml:space="preserve">Year 2</t>
  </si>
  <si>
    <t xml:space="preserve">Year 3</t>
  </si>
  <si>
    <t xml:space="preserve">3-Year TOTAL</t>
  </si>
</sst>
</file>

<file path=xl/styles.xml><?xml version="1.0" encoding="utf-8"?>
<styleSheet xmlns="http://schemas.openxmlformats.org/spreadsheetml/2006/main">
  <numFmts count="12">
    <numFmt numFmtId="164" formatCode="General"/>
    <numFmt numFmtId="165" formatCode="\$#,##0.00"/>
    <numFmt numFmtId="166" formatCode="0.0%"/>
    <numFmt numFmtId="167" formatCode="\$0.00"/>
    <numFmt numFmtId="168" formatCode="\$0.00000"/>
    <numFmt numFmtId="169" formatCode="0%"/>
    <numFmt numFmtId="170" formatCode="#,##0.0"/>
    <numFmt numFmtId="171" formatCode="#,##0.00"/>
    <numFmt numFmtId="172" formatCode="\$0.000"/>
    <numFmt numFmtId="173" formatCode="#,##0"/>
    <numFmt numFmtId="174" formatCode="\$#,##0"/>
    <numFmt numFmtId="175" formatCode="0.0"/>
  </numFmts>
  <fonts count="2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sz val="8"/>
      <color rgb="FF666666"/>
      <name val="Arial"/>
      <family val="0"/>
      <charset val="1"/>
    </font>
    <font>
      <b val="true"/>
      <sz val="9"/>
      <color rgb="FFFFFFFF"/>
      <name val="Arial"/>
      <family val="0"/>
      <charset val="1"/>
    </font>
    <font>
      <b val="true"/>
      <sz val="15"/>
      <color rgb="FF1F3864"/>
      <name val="Arial"/>
      <family val="0"/>
      <charset val="1"/>
    </font>
    <font>
      <b val="true"/>
      <sz val="15"/>
      <color rgb="FF2D6A2F"/>
      <name val="Arial"/>
      <family val="0"/>
      <charset val="1"/>
    </font>
    <font>
      <b val="true"/>
      <sz val="15"/>
      <color rgb="FF843C0C"/>
      <name val="Arial"/>
      <family val="0"/>
      <charset val="1"/>
    </font>
    <font>
      <b val="true"/>
      <sz val="15"/>
      <color rgb="FF7030A0"/>
      <name val="Arial"/>
      <family val="0"/>
      <charset val="1"/>
    </font>
    <font>
      <b val="true"/>
      <sz val="15"/>
      <color rgb="FF2E75B6"/>
      <name val="Arial"/>
      <family val="0"/>
      <charset val="1"/>
    </font>
    <font>
      <sz val="7"/>
      <color rgb="FF555555"/>
      <name val="Arial"/>
      <family val="0"/>
      <charset val="1"/>
    </font>
    <font>
      <b val="true"/>
      <sz val="10"/>
      <color rgb="FFFFFFFF"/>
      <name val="Arial"/>
      <family val="0"/>
      <charset val="1"/>
    </font>
    <font>
      <sz val="9"/>
      <color rgb="FF000000"/>
      <name val="Arial"/>
      <family val="0"/>
      <charset val="1"/>
    </font>
    <font>
      <b val="true"/>
      <sz val="9"/>
      <color rgb="FF000000"/>
      <name val="Arial"/>
      <family val="0"/>
      <charset val="1"/>
    </font>
    <font>
      <sz val="9"/>
      <name val="Arial"/>
      <family val="0"/>
      <charset val="1"/>
    </font>
    <font>
      <sz val="9"/>
      <color rgb="FF0000FF"/>
      <name val="Arial"/>
      <family val="0"/>
      <charset val="1"/>
    </font>
    <font>
      <sz val="8"/>
      <color rgb="FF555555"/>
      <name val="Arial"/>
      <family val="0"/>
      <charset val="1"/>
    </font>
    <font>
      <b val="true"/>
      <sz val="9"/>
      <color rgb="FF2D6A2F"/>
      <name val="Arial"/>
      <family val="0"/>
      <charset val="1"/>
    </font>
    <font>
      <i val="true"/>
      <sz val="8"/>
      <color rgb="FF444444"/>
      <name val="Arial"/>
      <family val="0"/>
      <charset val="1"/>
    </font>
    <font>
      <sz val="8"/>
      <color rgb="FF444444"/>
      <name val="Arial"/>
      <family val="0"/>
      <charset val="1"/>
    </font>
    <font>
      <b val="true"/>
      <sz val="11"/>
      <color rgb="FFFFFF00"/>
      <name val="Arial"/>
      <family val="0"/>
      <charset val="1"/>
    </font>
    <font>
      <b val="true"/>
      <sz val="10"/>
      <color rgb="FF1F3864"/>
      <name val="Arial"/>
      <family val="0"/>
      <charset val="1"/>
    </font>
    <font>
      <b val="true"/>
      <sz val="10"/>
      <color rgb="FF2D6A2F"/>
      <name val="Arial"/>
      <family val="0"/>
      <charset val="1"/>
    </font>
    <font>
      <b val="true"/>
      <sz val="13"/>
      <color rgb="FFFFFF00"/>
      <name val="Arial"/>
      <family val="0"/>
      <charset val="1"/>
    </font>
    <font>
      <b val="true"/>
      <sz val="11"/>
      <color rgb="FF2D6A2F"/>
      <name val="Arial"/>
      <family val="0"/>
      <charset val="1"/>
    </font>
    <font>
      <sz val="8"/>
      <name val="Arial"/>
      <family val="0"/>
      <charset val="1"/>
    </font>
    <font>
      <b val="true"/>
      <sz val="8"/>
      <name val="Arial"/>
      <family val="0"/>
      <charset val="1"/>
    </font>
  </fonts>
  <fills count="18">
    <fill>
      <patternFill patternType="none"/>
    </fill>
    <fill>
      <patternFill patternType="gray125"/>
    </fill>
    <fill>
      <patternFill patternType="solid">
        <fgColor rgb="FF2D6A2F"/>
        <bgColor rgb="FF555555"/>
      </patternFill>
    </fill>
    <fill>
      <patternFill patternType="solid">
        <fgColor rgb="FF1F3864"/>
        <bgColor rgb="FF444444"/>
      </patternFill>
    </fill>
    <fill>
      <patternFill patternType="solid">
        <fgColor rgb="FF843C0C"/>
        <bgColor rgb="FF993366"/>
      </patternFill>
    </fill>
    <fill>
      <patternFill patternType="solid">
        <fgColor rgb="FF7030A0"/>
        <bgColor rgb="FF993366"/>
      </patternFill>
    </fill>
    <fill>
      <patternFill patternType="solid">
        <fgColor rgb="FF2E75B6"/>
        <bgColor rgb="FF4472C4"/>
      </patternFill>
    </fill>
    <fill>
      <patternFill patternType="solid">
        <fgColor rgb="FFD6E4F7"/>
        <bgColor rgb="FFD8F0D8"/>
      </patternFill>
    </fill>
    <fill>
      <patternFill patternType="solid">
        <fgColor rgb="FFD8F0D8"/>
        <bgColor rgb="FFE2EFDA"/>
      </patternFill>
    </fill>
    <fill>
      <patternFill patternType="solid">
        <fgColor rgb="FFE2EFDA"/>
        <bgColor rgb="FFD8F0D8"/>
      </patternFill>
    </fill>
    <fill>
      <patternFill patternType="solid">
        <fgColor rgb="FFFFF2CC"/>
        <bgColor rgb="FFFFF3E0"/>
      </patternFill>
    </fill>
    <fill>
      <patternFill patternType="solid">
        <fgColor rgb="FFFFE0E0"/>
        <bgColor rgb="FFFFF3E0"/>
      </patternFill>
    </fill>
    <fill>
      <patternFill patternType="solid">
        <fgColor rgb="FFFFF3E0"/>
        <bgColor rgb="FFFFF2CC"/>
      </patternFill>
    </fill>
    <fill>
      <patternFill patternType="solid">
        <fgColor rgb="FFF2F2F2"/>
        <bgColor rgb="FFFFF3E0"/>
      </patternFill>
    </fill>
    <fill>
      <patternFill patternType="solid">
        <fgColor rgb="FFFFFFFF"/>
        <bgColor rgb="FFFFFDE7"/>
      </patternFill>
    </fill>
    <fill>
      <patternFill patternType="solid">
        <fgColor rgb="FFFFFF00"/>
        <bgColor rgb="FFFFFF00"/>
      </patternFill>
    </fill>
    <fill>
      <patternFill patternType="solid">
        <fgColor rgb="FFFFFDE7"/>
        <bgColor rgb="FFFFF3E0"/>
      </patternFill>
    </fill>
    <fill>
      <patternFill patternType="solid">
        <fgColor rgb="FFC00000"/>
        <bgColor rgb="FF800000"/>
      </patternFill>
    </fill>
  </fills>
  <borders count="5">
    <border diagonalUp="false" diagonalDown="false">
      <left/>
      <right/>
      <top/>
      <bottom/>
      <diagonal/>
    </border>
    <border diagonalUp="false" diagonalDown="false">
      <left style="medium">
        <color rgb="FF4472C4"/>
      </left>
      <right/>
      <top style="medium">
        <color rgb="FF4472C4"/>
      </top>
      <bottom style="medium">
        <color rgb="FF4472C4"/>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4472C4"/>
      </left>
      <right style="medium">
        <color rgb="FF4472C4"/>
      </right>
      <top style="medium">
        <color rgb="FF4472C4"/>
      </top>
      <bottom style="medium">
        <color rgb="FF4472C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true" applyAlignment="true" applyProtection="false">
      <alignment horizontal="center" vertical="center" textRotation="0" wrapText="true" indent="0" shrinkToFit="false"/>
      <protection locked="true" hidden="false"/>
    </xf>
    <xf numFmtId="164" fontId="6" fillId="6" borderId="0"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center" vertical="center" textRotation="0" wrapText="true" indent="0" shrinkToFit="false"/>
      <protection locked="true" hidden="false"/>
    </xf>
    <xf numFmtId="164" fontId="8" fillId="8" borderId="2" xfId="0" applyFont="true" applyBorder="true" applyAlignment="true" applyProtection="false">
      <alignment horizontal="center" vertical="center" textRotation="0" wrapText="true" indent="0" shrinkToFit="false"/>
      <protection locked="true" hidden="false"/>
    </xf>
    <xf numFmtId="164" fontId="9" fillId="9" borderId="2" xfId="0" applyFont="true" applyBorder="true" applyAlignment="true" applyProtection="false">
      <alignment horizontal="center" vertical="center" textRotation="0" wrapText="true" indent="0" shrinkToFit="false"/>
      <protection locked="true" hidden="false"/>
    </xf>
    <xf numFmtId="164" fontId="10" fillId="10" borderId="2" xfId="0" applyFont="true" applyBorder="true" applyAlignment="true" applyProtection="false">
      <alignment horizontal="center" vertical="center" textRotation="0" wrapText="true" indent="0" shrinkToFit="false"/>
      <protection locked="true" hidden="false"/>
    </xf>
    <xf numFmtId="164" fontId="11" fillId="7"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13" fillId="2" borderId="2" xfId="0" applyFont="true" applyBorder="true" applyAlignment="true" applyProtection="false">
      <alignment horizontal="left" vertical="center" textRotation="0" wrapText="true" indent="0" shrinkToFit="false"/>
      <protection locked="true" hidden="false"/>
    </xf>
    <xf numFmtId="164" fontId="6" fillId="2" borderId="3" xfId="0" applyFont="true" applyBorder="true" applyAlignment="true" applyProtection="false">
      <alignment horizontal="center" vertical="center" textRotation="0" wrapText="true" indent="0" shrinkToFit="false"/>
      <protection locked="true" hidden="false"/>
    </xf>
    <xf numFmtId="164" fontId="14" fillId="11" borderId="3" xfId="0" applyFont="true" applyBorder="true" applyAlignment="true" applyProtection="false">
      <alignment horizontal="left" vertical="center" textRotation="0" wrapText="true" indent="0" shrinkToFit="false"/>
      <protection locked="true" hidden="false"/>
    </xf>
    <xf numFmtId="164" fontId="14" fillId="11" borderId="3" xfId="0" applyFont="true" applyBorder="true" applyAlignment="true" applyProtection="false">
      <alignment horizontal="center" vertical="center" textRotation="0" wrapText="true" indent="0" shrinkToFit="false"/>
      <protection locked="true" hidden="false"/>
    </xf>
    <xf numFmtId="165" fontId="14" fillId="11" borderId="3" xfId="0" applyFont="true" applyBorder="true" applyAlignment="true" applyProtection="false">
      <alignment horizontal="center" vertical="center" textRotation="0" wrapText="true" indent="0" shrinkToFit="false"/>
      <protection locked="true" hidden="false"/>
    </xf>
    <xf numFmtId="166" fontId="14" fillId="11" borderId="3" xfId="0" applyFont="true" applyBorder="true" applyAlignment="true" applyProtection="false">
      <alignment horizontal="center" vertical="center" textRotation="0" wrapText="true" indent="0" shrinkToFit="false"/>
      <protection locked="true" hidden="false"/>
    </xf>
    <xf numFmtId="164" fontId="15" fillId="8" borderId="3" xfId="0" applyFont="true" applyBorder="true" applyAlignment="true" applyProtection="false">
      <alignment horizontal="left" vertical="center" textRotation="0" wrapText="true" indent="0" shrinkToFit="false"/>
      <protection locked="true" hidden="false"/>
    </xf>
    <xf numFmtId="164" fontId="15" fillId="8" borderId="3" xfId="0" applyFont="true" applyBorder="true" applyAlignment="true" applyProtection="false">
      <alignment horizontal="center" vertical="center" textRotation="0" wrapText="true" indent="0" shrinkToFit="false"/>
      <protection locked="true" hidden="false"/>
    </xf>
    <xf numFmtId="165" fontId="15" fillId="8" borderId="3" xfId="0" applyFont="true" applyBorder="true" applyAlignment="true" applyProtection="false">
      <alignment horizontal="center" vertical="center" textRotation="0" wrapText="true" indent="0" shrinkToFit="false"/>
      <protection locked="true" hidden="false"/>
    </xf>
    <xf numFmtId="166" fontId="15" fillId="8" borderId="3" xfId="0" applyFont="true" applyBorder="true" applyAlignment="true" applyProtection="false">
      <alignment horizontal="center" vertical="center" textRotation="0" wrapText="true" indent="0" shrinkToFit="false"/>
      <protection locked="true" hidden="false"/>
    </xf>
    <xf numFmtId="164" fontId="14" fillId="9" borderId="3" xfId="0" applyFont="true" applyBorder="true" applyAlignment="true" applyProtection="false">
      <alignment horizontal="left" vertical="center" textRotation="0" wrapText="true" indent="0" shrinkToFit="false"/>
      <protection locked="true" hidden="false"/>
    </xf>
    <xf numFmtId="164" fontId="14" fillId="9" borderId="3" xfId="0" applyFont="true" applyBorder="true" applyAlignment="true" applyProtection="false">
      <alignment horizontal="center" vertical="center" textRotation="0" wrapText="true" indent="0" shrinkToFit="false"/>
      <protection locked="true" hidden="false"/>
    </xf>
    <xf numFmtId="165" fontId="14" fillId="9" borderId="3" xfId="0" applyFont="true" applyBorder="true" applyAlignment="true" applyProtection="false">
      <alignment horizontal="center" vertical="center" textRotation="0" wrapText="true" indent="0" shrinkToFit="false"/>
      <protection locked="true" hidden="false"/>
    </xf>
    <xf numFmtId="166" fontId="14" fillId="9" borderId="3" xfId="0" applyFont="true" applyBorder="true" applyAlignment="true" applyProtection="false">
      <alignment horizontal="center" vertical="center" textRotation="0" wrapText="true" indent="0" shrinkToFit="false"/>
      <protection locked="true" hidden="false"/>
    </xf>
    <xf numFmtId="164" fontId="14" fillId="12" borderId="3" xfId="0" applyFont="true" applyBorder="true" applyAlignment="true" applyProtection="false">
      <alignment horizontal="left" vertical="center" textRotation="0" wrapText="true" indent="0" shrinkToFit="false"/>
      <protection locked="true" hidden="false"/>
    </xf>
    <xf numFmtId="164" fontId="14" fillId="12" borderId="3" xfId="0" applyFont="true" applyBorder="true" applyAlignment="true" applyProtection="false">
      <alignment horizontal="center" vertical="center" textRotation="0" wrapText="true" indent="0" shrinkToFit="false"/>
      <protection locked="true" hidden="false"/>
    </xf>
    <xf numFmtId="165" fontId="14" fillId="12" borderId="3" xfId="0" applyFont="true" applyBorder="true" applyAlignment="true" applyProtection="false">
      <alignment horizontal="center" vertical="center" textRotation="0" wrapText="true" indent="0" shrinkToFit="false"/>
      <protection locked="true" hidden="false"/>
    </xf>
    <xf numFmtId="166" fontId="14" fillId="12" borderId="3" xfId="0" applyFont="true" applyBorder="true" applyAlignment="true" applyProtection="false">
      <alignment horizontal="center" vertical="center" textRotation="0" wrapText="true" indent="0" shrinkToFit="false"/>
      <protection locked="true" hidden="false"/>
    </xf>
    <xf numFmtId="164" fontId="15" fillId="8" borderId="2" xfId="0" applyFont="true" applyBorder="true" applyAlignment="true" applyProtection="false">
      <alignment horizontal="left" vertical="center" textRotation="0" wrapText="true" indent="0" shrinkToFit="false"/>
      <protection locked="true" hidden="false"/>
    </xf>
    <xf numFmtId="164" fontId="16" fillId="13" borderId="2" xfId="0" applyFont="true" applyBorder="true" applyAlignment="true" applyProtection="false">
      <alignment horizontal="left" vertical="center" textRotation="0" wrapText="true" indent="0" shrinkToFit="false"/>
      <protection locked="true" hidden="false"/>
    </xf>
    <xf numFmtId="164" fontId="16" fillId="14" borderId="2" xfId="0" applyFont="true" applyBorder="true" applyAlignment="true" applyProtection="false">
      <alignment horizontal="left" vertical="center" textRotation="0" wrapText="true" indent="0" shrinkToFit="false"/>
      <protection locked="true" hidden="false"/>
    </xf>
    <xf numFmtId="167" fontId="17" fillId="15" borderId="3" xfId="0" applyFont="true" applyBorder="true" applyAlignment="true" applyProtection="false">
      <alignment horizontal="center" vertical="center" textRotation="0" wrapText="true" indent="0" shrinkToFit="false"/>
      <protection locked="true" hidden="false"/>
    </xf>
    <xf numFmtId="164" fontId="14" fillId="13" borderId="3" xfId="0" applyFont="true" applyBorder="true" applyAlignment="true" applyProtection="false">
      <alignment horizontal="center" vertical="center" textRotation="0" wrapText="true" indent="0" shrinkToFit="false"/>
      <protection locked="true" hidden="false"/>
    </xf>
    <xf numFmtId="164" fontId="18" fillId="13" borderId="2" xfId="0" applyFont="true" applyBorder="true" applyAlignment="true" applyProtection="false">
      <alignment horizontal="left" vertical="center" textRotation="0" wrapText="true" indent="0" shrinkToFit="false"/>
      <protection locked="true" hidden="false"/>
    </xf>
    <xf numFmtId="168" fontId="17" fillId="15" borderId="3" xfId="0" applyFont="true" applyBorder="true" applyAlignment="true" applyProtection="false">
      <alignment horizontal="center" vertical="center" textRotation="0" wrapText="true" indent="0" shrinkToFit="false"/>
      <protection locked="true" hidden="false"/>
    </xf>
    <xf numFmtId="164" fontId="14" fillId="14" borderId="3" xfId="0" applyFont="true" applyBorder="true" applyAlignment="true" applyProtection="false">
      <alignment horizontal="center" vertical="center" textRotation="0" wrapText="true" indent="0" shrinkToFit="false"/>
      <protection locked="true" hidden="false"/>
    </xf>
    <xf numFmtId="167" fontId="18" fillId="14" borderId="2" xfId="0" applyFont="true" applyBorder="true" applyAlignment="true" applyProtection="false">
      <alignment horizontal="left" vertical="center" textRotation="0" wrapText="true" indent="0" shrinkToFit="false"/>
      <protection locked="true" hidden="false"/>
    </xf>
    <xf numFmtId="164" fontId="17" fillId="15" borderId="3" xfId="0" applyFont="true" applyBorder="true" applyAlignment="true" applyProtection="false">
      <alignment horizontal="center" vertical="center" textRotation="0" wrapText="true" indent="0" shrinkToFit="false"/>
      <protection locked="true" hidden="false"/>
    </xf>
    <xf numFmtId="164" fontId="18" fillId="14" borderId="2" xfId="0" applyFont="true" applyBorder="true" applyAlignment="true" applyProtection="false">
      <alignment horizontal="left" vertical="center" textRotation="0" wrapText="true" indent="0" shrinkToFit="false"/>
      <protection locked="true" hidden="false"/>
    </xf>
    <xf numFmtId="169" fontId="17" fillId="15" borderId="3" xfId="0" applyFont="true" applyBorder="true" applyAlignment="true" applyProtection="false">
      <alignment horizontal="center" vertical="center" textRotation="0" wrapText="true" indent="0" shrinkToFit="false"/>
      <protection locked="true" hidden="false"/>
    </xf>
    <xf numFmtId="164" fontId="13" fillId="6" borderId="2" xfId="0" applyFont="true" applyBorder="true" applyAlignment="true" applyProtection="false">
      <alignment horizontal="left" vertical="center" textRotation="0" wrapText="true" indent="0" shrinkToFit="false"/>
      <protection locked="true" hidden="false"/>
    </xf>
    <xf numFmtId="164" fontId="6" fillId="6" borderId="3" xfId="0" applyFont="true" applyBorder="true" applyAlignment="true" applyProtection="false">
      <alignment horizontal="center" vertical="center" textRotation="0" wrapText="true" indent="0" shrinkToFit="false"/>
      <protection locked="true" hidden="false"/>
    </xf>
    <xf numFmtId="164" fontId="14" fillId="0" borderId="3" xfId="0" applyFont="true" applyBorder="true" applyAlignment="true" applyProtection="false">
      <alignment horizontal="left" vertical="center" textRotation="0" wrapText="true" indent="0" shrinkToFit="false"/>
      <protection locked="true" hidden="false"/>
    </xf>
    <xf numFmtId="170" fontId="14" fillId="14" borderId="3" xfId="0" applyFont="true" applyBorder="true" applyAlignment="true" applyProtection="false">
      <alignment horizontal="center" vertical="center" textRotation="0" wrapText="true" indent="0" shrinkToFit="false"/>
      <protection locked="true" hidden="false"/>
    </xf>
    <xf numFmtId="171" fontId="14" fillId="14" borderId="3" xfId="0" applyFont="true" applyBorder="true" applyAlignment="true" applyProtection="false">
      <alignment horizontal="center" vertical="center" textRotation="0" wrapText="true" indent="0" shrinkToFit="false"/>
      <protection locked="true" hidden="false"/>
    </xf>
    <xf numFmtId="166" fontId="14" fillId="14" borderId="3" xfId="0" applyFont="true" applyBorder="true" applyAlignment="true" applyProtection="false">
      <alignment horizontal="center" vertical="center" textRotation="0" wrapText="true" indent="0" shrinkToFit="false"/>
      <protection locked="true" hidden="false"/>
    </xf>
    <xf numFmtId="164" fontId="14" fillId="8" borderId="3" xfId="0" applyFont="true" applyBorder="true" applyAlignment="true" applyProtection="false">
      <alignment horizontal="center" vertical="center" textRotation="0" wrapText="true" indent="0" shrinkToFit="false"/>
      <protection locked="true" hidden="false"/>
    </xf>
    <xf numFmtId="164" fontId="19" fillId="8" borderId="3" xfId="0" applyFont="true" applyBorder="true" applyAlignment="true" applyProtection="false">
      <alignment horizontal="center" vertical="center" textRotation="0" wrapText="true" indent="0" shrinkToFit="false"/>
      <protection locked="true" hidden="false"/>
    </xf>
    <xf numFmtId="165" fontId="19" fillId="8" borderId="3" xfId="0" applyFont="true" applyBorder="true" applyAlignment="true" applyProtection="false">
      <alignment horizontal="center" vertical="center" textRotation="0" wrapText="true" indent="0" shrinkToFit="false"/>
      <protection locked="true" hidden="false"/>
    </xf>
    <xf numFmtId="165" fontId="15" fillId="9" borderId="3" xfId="0" applyFont="true" applyBorder="true" applyAlignment="true" applyProtection="false">
      <alignment horizontal="center" vertical="center" textRotation="0" wrapText="true" indent="0" shrinkToFit="false"/>
      <protection locked="true" hidden="false"/>
    </xf>
    <xf numFmtId="170" fontId="14" fillId="13" borderId="3" xfId="0" applyFont="true" applyBorder="true" applyAlignment="true" applyProtection="false">
      <alignment horizontal="center" vertical="center" textRotation="0" wrapText="true" indent="0" shrinkToFit="false"/>
      <protection locked="true" hidden="false"/>
    </xf>
    <xf numFmtId="171" fontId="14" fillId="13" borderId="3" xfId="0" applyFont="true" applyBorder="true" applyAlignment="true" applyProtection="false">
      <alignment horizontal="center" vertical="center" textRotation="0" wrapText="true" indent="0" shrinkToFit="false"/>
      <protection locked="true" hidden="false"/>
    </xf>
    <xf numFmtId="166" fontId="14" fillId="13" borderId="3" xfId="0" applyFont="true" applyBorder="true" applyAlignment="true" applyProtection="false">
      <alignment horizontal="center" vertical="center" textRotation="0" wrapText="true" indent="0" shrinkToFit="false"/>
      <protection locked="true" hidden="false"/>
    </xf>
    <xf numFmtId="164" fontId="6" fillId="3" borderId="3" xfId="0" applyFont="true" applyBorder="true" applyAlignment="true" applyProtection="false">
      <alignment horizontal="left" vertical="center" textRotation="0" wrapText="true" indent="0" shrinkToFit="false"/>
      <protection locked="true" hidden="false"/>
    </xf>
    <xf numFmtId="170" fontId="6" fillId="3" borderId="3" xfId="0" applyFont="true" applyBorder="true" applyAlignment="true" applyProtection="false">
      <alignment horizontal="center" vertical="center" textRotation="0" wrapText="true" indent="0" shrinkToFit="false"/>
      <protection locked="true" hidden="false"/>
    </xf>
    <xf numFmtId="171" fontId="6" fillId="3" borderId="3" xfId="0" applyFont="true" applyBorder="true" applyAlignment="true" applyProtection="false">
      <alignment horizontal="center" vertical="center" textRotation="0" wrapText="true" indent="0" shrinkToFit="false"/>
      <protection locked="true" hidden="false"/>
    </xf>
    <xf numFmtId="164" fontId="6" fillId="3" borderId="3" xfId="0" applyFont="true" applyBorder="true" applyAlignment="true" applyProtection="false">
      <alignment horizontal="center" vertical="center" textRotation="0" wrapText="true" indent="0" shrinkToFit="false"/>
      <protection locked="true" hidden="false"/>
    </xf>
    <xf numFmtId="165" fontId="6" fillId="3" borderId="3" xfId="0" applyFont="true" applyBorder="true" applyAlignment="true" applyProtection="false">
      <alignment horizontal="center" vertical="center" textRotation="0" wrapText="true" indent="0" shrinkToFit="false"/>
      <protection locked="true" hidden="false"/>
    </xf>
    <xf numFmtId="164" fontId="15" fillId="11" borderId="3" xfId="0" applyFont="true" applyBorder="true" applyAlignment="true" applyProtection="false">
      <alignment horizontal="left" vertical="center" textRotation="0" wrapText="true" indent="0" shrinkToFit="false"/>
      <protection locked="true" hidden="false"/>
    </xf>
    <xf numFmtId="165" fontId="15" fillId="11" borderId="3" xfId="0" applyFont="true" applyBorder="true" applyAlignment="true" applyProtection="false">
      <alignment horizontal="center" vertical="center" textRotation="0" wrapText="true" indent="0" shrinkToFit="false"/>
      <protection locked="true" hidden="false"/>
    </xf>
    <xf numFmtId="164" fontId="15" fillId="11" borderId="3" xfId="0" applyFont="true" applyBorder="true" applyAlignment="true" applyProtection="false">
      <alignment horizontal="center" vertical="center" textRotation="0" wrapText="true" indent="0" shrinkToFit="false"/>
      <protection locked="true" hidden="false"/>
    </xf>
    <xf numFmtId="164" fontId="14" fillId="8" borderId="3" xfId="0" applyFont="true" applyBorder="true" applyAlignment="true" applyProtection="false">
      <alignment horizontal="left" vertical="center" textRotation="0" wrapText="true" indent="0" shrinkToFit="false"/>
      <protection locked="true" hidden="false"/>
    </xf>
    <xf numFmtId="165" fontId="14" fillId="8" borderId="3" xfId="0" applyFont="true" applyBorder="true" applyAlignment="true" applyProtection="false">
      <alignment horizontal="center" vertical="center" textRotation="0" wrapText="true" indent="0" shrinkToFit="false"/>
      <protection locked="true" hidden="false"/>
    </xf>
    <xf numFmtId="164" fontId="13" fillId="5" borderId="2" xfId="0" applyFont="true" applyBorder="true" applyAlignment="true" applyProtection="false">
      <alignment horizontal="left" vertical="center" textRotation="0" wrapText="true" indent="0" shrinkToFit="false"/>
      <protection locked="true" hidden="false"/>
    </xf>
    <xf numFmtId="164" fontId="20" fillId="16" borderId="2" xfId="0" applyFont="true" applyBorder="true" applyAlignment="true" applyProtection="false">
      <alignment horizontal="left" vertical="center" textRotation="0" wrapText="true" indent="0" shrinkToFit="false"/>
      <protection locked="true" hidden="false"/>
    </xf>
    <xf numFmtId="164" fontId="6" fillId="5" borderId="3" xfId="0" applyFont="true" applyBorder="true" applyAlignment="true" applyProtection="false">
      <alignment horizontal="center" vertical="center" textRotation="0" wrapText="true" indent="0" shrinkToFit="false"/>
      <protection locked="true" hidden="false"/>
    </xf>
    <xf numFmtId="164" fontId="15" fillId="14" borderId="3" xfId="0" applyFont="true" applyBorder="true" applyAlignment="true" applyProtection="false">
      <alignment horizontal="left" vertical="center" textRotation="0" wrapText="true" indent="0" shrinkToFit="false"/>
      <protection locked="true" hidden="false"/>
    </xf>
    <xf numFmtId="170" fontId="17" fillId="7" borderId="3" xfId="0" applyFont="true" applyBorder="true" applyAlignment="true" applyProtection="false">
      <alignment horizontal="center" vertical="center" textRotation="0" wrapText="true" indent="0" shrinkToFit="false"/>
      <protection locked="true" hidden="false"/>
    </xf>
    <xf numFmtId="172" fontId="17" fillId="7" borderId="3" xfId="0" applyFont="true" applyBorder="true" applyAlignment="true" applyProtection="false">
      <alignment horizontal="center" vertical="center" textRotation="0" wrapText="true" indent="0" shrinkToFit="false"/>
      <protection locked="true" hidden="false"/>
    </xf>
    <xf numFmtId="164" fontId="15" fillId="13" borderId="3" xfId="0" applyFont="true" applyBorder="true" applyAlignment="true" applyProtection="false">
      <alignment horizontal="left" vertical="center" textRotation="0" wrapText="true" indent="0" shrinkToFit="false"/>
      <protection locked="true" hidden="false"/>
    </xf>
    <xf numFmtId="165" fontId="14" fillId="10" borderId="3" xfId="0" applyFont="true" applyBorder="true" applyAlignment="true" applyProtection="false">
      <alignment horizontal="center" vertical="center" textRotation="0" wrapText="true" indent="0" shrinkToFit="false"/>
      <protection locked="true" hidden="false"/>
    </xf>
    <xf numFmtId="164" fontId="6" fillId="5" borderId="3" xfId="0" applyFont="true" applyBorder="true" applyAlignment="true" applyProtection="false">
      <alignment horizontal="left" vertical="center" textRotation="0" wrapText="tru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5" fontId="13" fillId="5" borderId="3" xfId="0" applyFont="true" applyBorder="true" applyAlignment="true" applyProtection="false">
      <alignment horizontal="center" vertical="center" textRotation="0" wrapText="true" indent="0" shrinkToFit="false"/>
      <protection locked="true" hidden="false"/>
    </xf>
    <xf numFmtId="164" fontId="13" fillId="17" borderId="2" xfId="0" applyFont="true" applyBorder="true" applyAlignment="true" applyProtection="false">
      <alignment horizontal="left" vertical="center" textRotation="0" wrapText="true" indent="0" shrinkToFit="false"/>
      <protection locked="true" hidden="false"/>
    </xf>
    <xf numFmtId="164" fontId="6" fillId="17" borderId="3" xfId="0" applyFont="true" applyBorder="true" applyAlignment="true" applyProtection="false">
      <alignment horizontal="center" vertical="center" textRotation="0" wrapText="true" indent="0" shrinkToFit="false"/>
      <protection locked="true" hidden="false"/>
    </xf>
    <xf numFmtId="173" fontId="17" fillId="7" borderId="3" xfId="0" applyFont="true" applyBorder="true" applyAlignment="true" applyProtection="false">
      <alignment horizontal="center" vertical="center" textRotation="0" wrapText="true" indent="0" shrinkToFit="false"/>
      <protection locked="true" hidden="false"/>
    </xf>
    <xf numFmtId="164" fontId="21" fillId="14" borderId="2" xfId="0" applyFont="true" applyBorder="true" applyAlignment="true" applyProtection="false">
      <alignment horizontal="left" vertical="center" textRotation="0" wrapText="true" indent="0" shrinkToFit="false"/>
      <protection locked="true" hidden="false"/>
    </xf>
    <xf numFmtId="164" fontId="21" fillId="13" borderId="2" xfId="0" applyFont="true" applyBorder="true" applyAlignment="true" applyProtection="false">
      <alignment horizontal="left" vertical="center" textRotation="0" wrapText="true" indent="0" shrinkToFit="false"/>
      <protection locked="true" hidden="false"/>
    </xf>
    <xf numFmtId="164" fontId="6" fillId="17" borderId="3" xfId="0" applyFont="true" applyBorder="true" applyAlignment="true" applyProtection="false">
      <alignment horizontal="left" vertical="center" textRotation="0" wrapText="true" indent="0" shrinkToFit="false"/>
      <protection locked="true" hidden="false"/>
    </xf>
    <xf numFmtId="164" fontId="0" fillId="17" borderId="2" xfId="0" applyFont="false" applyBorder="true" applyAlignment="false" applyProtection="false">
      <alignment horizontal="general" vertical="bottom" textRotation="0" wrapText="false" indent="0" shrinkToFit="false"/>
      <protection locked="true" hidden="false"/>
    </xf>
    <xf numFmtId="165" fontId="13" fillId="17" borderId="3" xfId="0" applyFont="true" applyBorder="true" applyAlignment="true" applyProtection="false">
      <alignment horizontal="center" vertical="center" textRotation="0" wrapText="true" indent="0" shrinkToFit="false"/>
      <protection locked="true" hidden="false"/>
    </xf>
    <xf numFmtId="164" fontId="6" fillId="2" borderId="3" xfId="0" applyFont="true" applyBorder="true" applyAlignment="true" applyProtection="false">
      <alignment horizontal="left" vertical="center" textRotation="0" wrapText="tru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5" fontId="22" fillId="2" borderId="3" xfId="0" applyFont="true" applyBorder="true" applyAlignment="true" applyProtection="false">
      <alignment horizontal="center" vertical="center" textRotation="0" wrapText="true" indent="0" shrinkToFit="false"/>
      <protection locked="true" hidden="false"/>
    </xf>
    <xf numFmtId="164" fontId="13" fillId="3" borderId="2" xfId="0" applyFont="true" applyBorder="true" applyAlignment="true" applyProtection="false">
      <alignment horizontal="left" vertical="center" textRotation="0" wrapText="true" indent="0" shrinkToFit="false"/>
      <protection locked="true" hidden="false"/>
    </xf>
    <xf numFmtId="164" fontId="15" fillId="7" borderId="2" xfId="0" applyFont="true" applyBorder="true" applyAlignment="true" applyProtection="false">
      <alignment horizontal="left" vertical="center" textRotation="0" wrapText="true" indent="0" shrinkToFit="false"/>
      <protection locked="true" hidden="false"/>
    </xf>
    <xf numFmtId="165" fontId="23" fillId="10" borderId="3" xfId="0" applyFont="true" applyBorder="true" applyAlignment="true" applyProtection="false">
      <alignment horizontal="center" vertical="center" textRotation="0" wrapText="true" indent="0" shrinkToFit="false"/>
      <protection locked="true" hidden="false"/>
    </xf>
    <xf numFmtId="164" fontId="0" fillId="14" borderId="2" xfId="0" applyFont="false" applyBorder="true" applyAlignment="false" applyProtection="false">
      <alignment horizontal="general" vertical="bottom" textRotation="0" wrapText="false" indent="0" shrinkToFit="false"/>
      <protection locked="true" hidden="false"/>
    </xf>
    <xf numFmtId="165" fontId="24" fillId="8" borderId="3" xfId="0" applyFont="true" applyBorder="true" applyAlignment="true" applyProtection="false">
      <alignment horizontal="center" vertical="center" textRotation="0" wrapText="true" indent="0" shrinkToFit="false"/>
      <protection locked="true" hidden="false"/>
    </xf>
    <xf numFmtId="164" fontId="22" fillId="3" borderId="1" xfId="0" applyFont="true" applyBorder="true" applyAlignment="true" applyProtection="false">
      <alignment horizontal="left" vertical="center" textRotation="0" wrapText="true" indent="0" shrinkToFit="false"/>
      <protection locked="true" hidden="false"/>
    </xf>
    <xf numFmtId="165" fontId="25" fillId="3" borderId="4" xfId="0" applyFont="tru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5" fillId="14" borderId="2" xfId="0" applyFont="true" applyBorder="true" applyAlignment="true" applyProtection="false">
      <alignment horizontal="left" vertical="center" textRotation="0" wrapText="true" indent="0" shrinkToFit="false"/>
      <protection locked="true" hidden="false"/>
    </xf>
    <xf numFmtId="165" fontId="26" fillId="9" borderId="3" xfId="0" applyFont="true" applyBorder="true" applyAlignment="true" applyProtection="false">
      <alignment horizontal="center" vertical="center" textRotation="0" wrapText="true" indent="0" shrinkToFit="false"/>
      <protection locked="true" hidden="false"/>
    </xf>
    <xf numFmtId="174" fontId="26" fillId="9" borderId="3" xfId="0" applyFont="true" applyBorder="true" applyAlignment="true" applyProtection="false">
      <alignment horizontal="center" vertical="center" textRotation="0" wrapText="true" indent="0" shrinkToFit="false"/>
      <protection locked="true" hidden="false"/>
    </xf>
    <xf numFmtId="164" fontId="0" fillId="8" borderId="2" xfId="0" applyFont="false" applyBorder="true" applyAlignment="false" applyProtection="false">
      <alignment horizontal="general" vertical="bottom" textRotation="0" wrapText="false" indent="0" shrinkToFit="false"/>
      <protection locked="true" hidden="false"/>
    </xf>
    <xf numFmtId="175" fontId="26" fillId="9" borderId="3" xfId="0" applyFont="true" applyBorder="true" applyAlignment="true" applyProtection="false">
      <alignment horizontal="center" vertical="center" textRotation="0" wrapText="true" indent="0" shrinkToFit="false"/>
      <protection locked="true" hidden="false"/>
    </xf>
    <xf numFmtId="164" fontId="4" fillId="17" borderId="1" xfId="0" applyFont="true" applyBorder="true" applyAlignment="true" applyProtection="false">
      <alignment horizontal="center" vertical="center" textRotation="0" wrapText="true" indent="0" shrinkToFit="false"/>
      <protection locked="true" hidden="false"/>
    </xf>
    <xf numFmtId="164" fontId="15" fillId="7" borderId="3" xfId="0" applyFont="true" applyBorder="true" applyAlignment="true" applyProtection="false">
      <alignment horizontal="left" vertical="top" textRotation="0" wrapText="true" indent="0" shrinkToFit="false"/>
      <protection locked="true" hidden="false"/>
    </xf>
    <xf numFmtId="164" fontId="16" fillId="13" borderId="2" xfId="0" applyFont="true" applyBorder="true" applyAlignment="true" applyProtection="false">
      <alignment horizontal="left" vertical="top" textRotation="0" wrapText="true" indent="0" shrinkToFit="false"/>
      <protection locked="true" hidden="false"/>
    </xf>
    <xf numFmtId="164" fontId="13" fillId="4" borderId="2" xfId="0" applyFont="true" applyBorder="true" applyAlignment="true" applyProtection="false">
      <alignment horizontal="left" vertical="center" textRotation="0" wrapText="true" indent="0" shrinkToFit="false"/>
      <protection locked="true" hidden="false"/>
    </xf>
    <xf numFmtId="164" fontId="15" fillId="8" borderId="3" xfId="0" applyFont="true" applyBorder="true" applyAlignment="true" applyProtection="false">
      <alignment horizontal="left" vertical="top" textRotation="0" wrapText="true" indent="0" shrinkToFit="false"/>
      <protection locked="true" hidden="false"/>
    </xf>
    <xf numFmtId="164" fontId="27" fillId="14" borderId="3" xfId="0" applyFont="true" applyBorder="true" applyAlignment="true" applyProtection="false">
      <alignment horizontal="center" vertical="center" textRotation="0" wrapText="true" indent="0" shrinkToFit="false"/>
      <protection locked="true" hidden="false"/>
    </xf>
    <xf numFmtId="174" fontId="27" fillId="14" borderId="3" xfId="0" applyFont="true" applyBorder="true" applyAlignment="true" applyProtection="false">
      <alignment horizontal="center" vertical="center" textRotation="0" wrapText="true" indent="0" shrinkToFit="false"/>
      <protection locked="true" hidden="false"/>
    </xf>
    <xf numFmtId="164" fontId="27" fillId="13" borderId="3" xfId="0" applyFont="true" applyBorder="true" applyAlignment="true" applyProtection="false">
      <alignment horizontal="center" vertical="center" textRotation="0" wrapText="true" indent="0" shrinkToFit="false"/>
      <protection locked="true" hidden="false"/>
    </xf>
    <xf numFmtId="174" fontId="27" fillId="13" borderId="3" xfId="0" applyFont="true" applyBorder="true" applyAlignment="true" applyProtection="false">
      <alignment horizontal="center" vertical="center" textRotation="0" wrapText="true" indent="0" shrinkToFit="false"/>
      <protection locked="true" hidden="false"/>
    </xf>
    <xf numFmtId="164" fontId="28" fillId="10" borderId="3" xfId="0" applyFont="true" applyBorder="true" applyAlignment="true" applyProtection="false">
      <alignment horizontal="center" vertical="center" textRotation="0" wrapText="true" indent="0" shrinkToFit="false"/>
      <protection locked="true" hidden="false"/>
    </xf>
    <xf numFmtId="174" fontId="28" fillId="10" borderId="3" xfId="0" applyFont="true" applyBorder="true" applyAlignment="true" applyProtection="false">
      <alignment horizontal="center" vertical="center" textRotation="0" wrapText="true" indent="0" shrinkToFit="false"/>
      <protection locked="true" hidden="false"/>
    </xf>
    <xf numFmtId="174" fontId="15" fillId="8" borderId="3" xfId="0" applyFont="true" applyBorder="true" applyAlignment="true" applyProtection="false">
      <alignment horizontal="center" vertical="center" textRotation="0" wrapText="true" indent="0" shrinkToFit="false"/>
      <protection locked="true" hidden="false"/>
    </xf>
    <xf numFmtId="174" fontId="15" fillId="9" borderId="3" xfId="0" applyFont="true" applyBorder="true" applyAlignment="true" applyProtection="false">
      <alignment horizontal="center" vertical="center" textRotation="0" wrapText="true" indent="0" shrinkToFit="false"/>
      <protection locked="true" hidden="false"/>
    </xf>
    <xf numFmtId="174" fontId="15" fillId="14" borderId="3" xfId="0" applyFont="true" applyBorder="true" applyAlignment="true" applyProtection="false">
      <alignment horizontal="center" vertical="center" textRotation="0" wrapText="true" indent="0" shrinkToFit="false"/>
      <protection locked="true" hidden="false"/>
    </xf>
    <xf numFmtId="164" fontId="13" fillId="3" borderId="3" xfId="0" applyFont="true" applyBorder="true" applyAlignment="true" applyProtection="false">
      <alignment horizontal="left" vertical="center" textRotation="0" wrapText="true" indent="0" shrinkToFit="false"/>
      <protection locked="true" hidden="false"/>
    </xf>
    <xf numFmtId="174" fontId="13" fillId="3"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2D6A2F"/>
      <rgbColor rgb="FF000080"/>
      <rgbColor rgb="FF808000"/>
      <rgbColor rgb="FF800080"/>
      <rgbColor rgb="FF008080"/>
      <rgbColor rgb="FFBFBFBF"/>
      <rgbColor rgb="FF808080"/>
      <rgbColor rgb="FF9999FF"/>
      <rgbColor rgb="FF7030A0"/>
      <rgbColor rgb="FFFFFDE7"/>
      <rgbColor rgb="FFE2EFDA"/>
      <rgbColor rgb="FF660066"/>
      <rgbColor rgb="FFFF8080"/>
      <rgbColor rgb="FF2E75B6"/>
      <rgbColor rgb="FFD6E4F7"/>
      <rgbColor rgb="FF000080"/>
      <rgbColor rgb="FFFF00FF"/>
      <rgbColor rgb="FFFFFF00"/>
      <rgbColor rgb="FF00FFFF"/>
      <rgbColor rgb="FF800080"/>
      <rgbColor rgb="FF800000"/>
      <rgbColor rgb="FF008080"/>
      <rgbColor rgb="FF0000FF"/>
      <rgbColor rgb="FF00CCFF"/>
      <rgbColor rgb="FFF2F2F2"/>
      <rgbColor rgb="FFD8F0D8"/>
      <rgbColor rgb="FFFFF2CC"/>
      <rgbColor rgb="FFFFF3E0"/>
      <rgbColor rgb="FFFF99CC"/>
      <rgbColor rgb="FFCC99FF"/>
      <rgbColor rgb="FFFFE0E0"/>
      <rgbColor rgb="FF4472C4"/>
      <rgbColor rgb="FF33CCCC"/>
      <rgbColor rgb="FF99CC00"/>
      <rgbColor rgb="FFFFCC00"/>
      <rgbColor rgb="FFFF9900"/>
      <rgbColor rgb="FFFF6600"/>
      <rgbColor rgb="FF666666"/>
      <rgbColor rgb="FF969696"/>
      <rgbColor rgb="FF1F3864"/>
      <rgbColor rgb="FF339966"/>
      <rgbColor rgb="FF003300"/>
      <rgbColor rgb="FF333300"/>
      <rgbColor rgb="FF843C0C"/>
      <rgbColor rgb="FF993366"/>
      <rgbColor rgb="FF555555"/>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12" min="3" style="0" width="14"/>
  </cols>
  <sheetData>
    <row r="1" customFormat="false" ht="25.5" hidden="false" customHeight="true" outlineLevel="0" collapsed="false">
      <c r="A1" s="1" t="s">
        <v>0</v>
      </c>
      <c r="B1" s="1"/>
      <c r="C1" s="1"/>
      <c r="D1" s="1"/>
      <c r="E1" s="1"/>
      <c r="F1" s="1"/>
      <c r="G1" s="1"/>
      <c r="H1" s="1"/>
      <c r="I1" s="1"/>
      <c r="J1" s="1"/>
      <c r="K1" s="1"/>
      <c r="L1" s="1"/>
    </row>
    <row r="2" customFormat="false" ht="12.75" hidden="false" customHeight="true" outlineLevel="0" collapsed="false">
      <c r="A2" s="2" t="s">
        <v>1</v>
      </c>
      <c r="B2" s="2"/>
      <c r="C2" s="2"/>
      <c r="D2" s="2"/>
      <c r="E2" s="2"/>
      <c r="F2" s="2"/>
      <c r="G2" s="2"/>
      <c r="H2" s="2"/>
      <c r="I2" s="2"/>
      <c r="J2" s="2"/>
      <c r="K2" s="2"/>
      <c r="L2" s="2"/>
    </row>
    <row r="4" customFormat="false" ht="15.75" hidden="false" customHeight="true" outlineLevel="0" collapsed="false">
      <c r="A4" s="3" t="s">
        <v>2</v>
      </c>
      <c r="B4" s="3"/>
      <c r="C4" s="4" t="s">
        <v>3</v>
      </c>
      <c r="D4" s="4"/>
      <c r="E4" s="5" t="s">
        <v>4</v>
      </c>
      <c r="F4" s="5"/>
      <c r="G4" s="6" t="s">
        <v>5</v>
      </c>
      <c r="H4" s="6"/>
      <c r="I4" s="7" t="s">
        <v>6</v>
      </c>
      <c r="J4" s="7"/>
    </row>
    <row r="5" customFormat="false" ht="30" hidden="false" customHeight="true" outlineLevel="0" collapsed="false">
      <c r="A5" s="8" t="s">
        <v>7</v>
      </c>
      <c r="B5" s="8"/>
      <c r="C5" s="9" t="s">
        <v>8</v>
      </c>
      <c r="D5" s="9"/>
      <c r="E5" s="10" t="s">
        <v>9</v>
      </c>
      <c r="F5" s="10"/>
      <c r="G5" s="11" t="s">
        <v>10</v>
      </c>
      <c r="H5" s="11"/>
      <c r="I5" s="12" t="s">
        <v>11</v>
      </c>
      <c r="J5" s="12"/>
    </row>
    <row r="6" customFormat="false" ht="12" hidden="false" customHeight="true" outlineLevel="0" collapsed="false">
      <c r="A6" s="13" t="s">
        <v>12</v>
      </c>
      <c r="B6" s="13"/>
      <c r="C6" s="13" t="s">
        <v>13</v>
      </c>
      <c r="D6" s="13"/>
      <c r="E6" s="13" t="s">
        <v>14</v>
      </c>
      <c r="F6" s="13"/>
      <c r="G6" s="13" t="s">
        <v>15</v>
      </c>
      <c r="H6" s="13"/>
      <c r="I6" s="13" t="s">
        <v>16</v>
      </c>
      <c r="J6" s="13"/>
    </row>
    <row r="8" customFormat="false" ht="18" hidden="false" customHeight="true" outlineLevel="0" collapsed="false">
      <c r="A8" s="14" t="s">
        <v>17</v>
      </c>
      <c r="B8" s="14"/>
      <c r="C8" s="14"/>
      <c r="D8" s="14"/>
      <c r="E8" s="14"/>
      <c r="F8" s="14"/>
      <c r="G8" s="14"/>
      <c r="H8" s="14"/>
      <c r="I8" s="14"/>
      <c r="J8" s="14"/>
      <c r="K8" s="14"/>
      <c r="L8" s="14"/>
    </row>
    <row r="9" customFormat="false" ht="27.75" hidden="false" customHeight="true" outlineLevel="0" collapsed="false">
      <c r="A9" s="15" t="s">
        <v>18</v>
      </c>
      <c r="B9" s="15" t="s">
        <v>19</v>
      </c>
      <c r="C9" s="15" t="s">
        <v>20</v>
      </c>
      <c r="D9" s="15" t="s">
        <v>21</v>
      </c>
      <c r="E9" s="15" t="s">
        <v>22</v>
      </c>
      <c r="F9" s="15" t="s">
        <v>23</v>
      </c>
      <c r="G9" s="15" t="s">
        <v>24</v>
      </c>
      <c r="H9" s="15" t="s">
        <v>25</v>
      </c>
      <c r="I9" s="15" t="s">
        <v>26</v>
      </c>
      <c r="J9" s="15" t="s">
        <v>27</v>
      </c>
      <c r="K9" s="15" t="s">
        <v>28</v>
      </c>
      <c r="L9" s="15"/>
    </row>
    <row r="10" customFormat="false" ht="19.5" hidden="false" customHeight="true" outlineLevel="0" collapsed="false">
      <c r="A10" s="16" t="s">
        <v>29</v>
      </c>
      <c r="B10" s="17" t="s">
        <v>30</v>
      </c>
      <c r="C10" s="17" t="s">
        <v>31</v>
      </c>
      <c r="D10" s="18" t="n">
        <v>35523.12</v>
      </c>
      <c r="E10" s="18" t="n">
        <v>426277.44</v>
      </c>
      <c r="F10" s="18" t="n">
        <v>0</v>
      </c>
      <c r="G10" s="19" t="s">
        <v>32</v>
      </c>
      <c r="H10" s="17" t="s">
        <v>33</v>
      </c>
      <c r="I10" s="17" t="s">
        <v>34</v>
      </c>
      <c r="J10" s="17" t="s">
        <v>35</v>
      </c>
      <c r="K10" s="17" t="s">
        <v>36</v>
      </c>
      <c r="L10" s="17"/>
    </row>
    <row r="11" customFormat="false" ht="19.5" hidden="false" customHeight="true" outlineLevel="0" collapsed="false">
      <c r="A11" s="20" t="s">
        <v>37</v>
      </c>
      <c r="B11" s="21" t="s">
        <v>38</v>
      </c>
      <c r="C11" s="21" t="s">
        <v>39</v>
      </c>
      <c r="D11" s="22" t="n">
        <v>8008.03</v>
      </c>
      <c r="E11" s="22" t="n">
        <v>96096.35</v>
      </c>
      <c r="F11" s="22" t="n">
        <v>330181.09</v>
      </c>
      <c r="G11" s="23" t="s">
        <v>40</v>
      </c>
      <c r="H11" s="21" t="s">
        <v>41</v>
      </c>
      <c r="I11" s="21" t="s">
        <v>42</v>
      </c>
      <c r="J11" s="21" t="s">
        <v>43</v>
      </c>
      <c r="K11" s="21" t="s">
        <v>44</v>
      </c>
      <c r="L11" s="21"/>
    </row>
    <row r="12" customFormat="false" ht="19.5" hidden="false" customHeight="true" outlineLevel="0" collapsed="false">
      <c r="A12" s="24" t="s">
        <v>45</v>
      </c>
      <c r="B12" s="25" t="s">
        <v>46</v>
      </c>
      <c r="C12" s="25" t="s">
        <v>47</v>
      </c>
      <c r="D12" s="26" t="n">
        <v>5845.86</v>
      </c>
      <c r="E12" s="26" t="n">
        <v>70150.33</v>
      </c>
      <c r="F12" s="26" t="n">
        <v>356127.11</v>
      </c>
      <c r="G12" s="27" t="s">
        <v>48</v>
      </c>
      <c r="H12" s="25" t="s">
        <v>41</v>
      </c>
      <c r="I12" s="25" t="s">
        <v>42</v>
      </c>
      <c r="J12" s="25" t="s">
        <v>43</v>
      </c>
      <c r="K12" s="25" t="s">
        <v>49</v>
      </c>
      <c r="L12" s="25"/>
    </row>
    <row r="13" customFormat="false" ht="19.5" hidden="false" customHeight="true" outlineLevel="0" collapsed="false">
      <c r="A13" s="28" t="s">
        <v>50</v>
      </c>
      <c r="B13" s="29" t="s">
        <v>51</v>
      </c>
      <c r="C13" s="29" t="s">
        <v>52</v>
      </c>
      <c r="D13" s="30" t="n">
        <v>8126</v>
      </c>
      <c r="E13" s="30" t="n">
        <v>97512</v>
      </c>
      <c r="F13" s="30" t="n">
        <v>328765.44</v>
      </c>
      <c r="G13" s="31" t="s">
        <v>53</v>
      </c>
      <c r="H13" s="29" t="s">
        <v>54</v>
      </c>
      <c r="I13" s="29" t="s">
        <v>34</v>
      </c>
      <c r="J13" s="29" t="s">
        <v>55</v>
      </c>
      <c r="K13" s="29" t="s">
        <v>56</v>
      </c>
      <c r="L13" s="29"/>
    </row>
    <row r="15" customFormat="false" ht="18" hidden="false" customHeight="true" outlineLevel="0" collapsed="false">
      <c r="A15" s="14" t="s">
        <v>57</v>
      </c>
      <c r="B15" s="14"/>
      <c r="C15" s="14"/>
      <c r="D15" s="14"/>
      <c r="E15" s="14"/>
      <c r="F15" s="14"/>
      <c r="G15" s="14"/>
      <c r="H15" s="14"/>
      <c r="I15" s="14"/>
      <c r="J15" s="14"/>
      <c r="K15" s="14"/>
      <c r="L15" s="14"/>
    </row>
    <row r="16" customFormat="false" ht="19.5" hidden="false" customHeight="true" outlineLevel="0" collapsed="false">
      <c r="A16" s="32" t="s">
        <v>58</v>
      </c>
      <c r="B16" s="32"/>
      <c r="C16" s="32"/>
      <c r="D16" s="33" t="s">
        <v>59</v>
      </c>
      <c r="E16" s="33"/>
      <c r="F16" s="33"/>
      <c r="G16" s="33"/>
      <c r="H16" s="33"/>
      <c r="I16" s="33"/>
      <c r="J16" s="33"/>
      <c r="K16" s="33"/>
      <c r="L16" s="33"/>
    </row>
    <row r="17" customFormat="false" ht="19.5" hidden="false" customHeight="true" outlineLevel="0" collapsed="false">
      <c r="A17" s="32" t="s">
        <v>60</v>
      </c>
      <c r="B17" s="32"/>
      <c r="C17" s="32"/>
      <c r="D17" s="34" t="s">
        <v>61</v>
      </c>
      <c r="E17" s="34"/>
      <c r="F17" s="34"/>
      <c r="G17" s="34"/>
      <c r="H17" s="34"/>
      <c r="I17" s="34"/>
      <c r="J17" s="34"/>
      <c r="K17" s="34"/>
      <c r="L17" s="34"/>
    </row>
    <row r="18" customFormat="false" ht="19.5" hidden="false" customHeight="true" outlineLevel="0" collapsed="false">
      <c r="A18" s="32" t="s">
        <v>62</v>
      </c>
      <c r="B18" s="32"/>
      <c r="C18" s="32"/>
      <c r="D18" s="33" t="s">
        <v>63</v>
      </c>
      <c r="E18" s="33"/>
      <c r="F18" s="33"/>
      <c r="G18" s="33"/>
      <c r="H18" s="33"/>
      <c r="I18" s="33"/>
      <c r="J18" s="33"/>
      <c r="K18" s="33"/>
      <c r="L18" s="33"/>
    </row>
    <row r="19" customFormat="false" ht="19.5" hidden="false" customHeight="true" outlineLevel="0" collapsed="false">
      <c r="A19" s="32" t="s">
        <v>64</v>
      </c>
      <c r="B19" s="32"/>
      <c r="C19" s="32"/>
      <c r="D19" s="34" t="s">
        <v>65</v>
      </c>
      <c r="E19" s="34"/>
      <c r="F19" s="34"/>
      <c r="G19" s="34"/>
      <c r="H19" s="34"/>
      <c r="I19" s="34"/>
      <c r="J19" s="34"/>
      <c r="K19" s="34"/>
      <c r="L19" s="34"/>
    </row>
    <row r="20" customFormat="false" ht="19.5" hidden="false" customHeight="true" outlineLevel="0" collapsed="false">
      <c r="A20" s="32" t="s">
        <v>66</v>
      </c>
      <c r="B20" s="32"/>
      <c r="C20" s="32"/>
      <c r="D20" s="33" t="s">
        <v>67</v>
      </c>
      <c r="E20" s="33"/>
      <c r="F20" s="33"/>
      <c r="G20" s="33"/>
      <c r="H20" s="33"/>
      <c r="I20" s="33"/>
      <c r="J20" s="33"/>
      <c r="K20" s="33"/>
      <c r="L20" s="33"/>
    </row>
    <row r="21" customFormat="false" ht="19.5" hidden="false" customHeight="true" outlineLevel="0" collapsed="false">
      <c r="A21" s="32" t="s">
        <v>68</v>
      </c>
      <c r="B21" s="32"/>
      <c r="C21" s="32"/>
      <c r="D21" s="34" t="s">
        <v>69</v>
      </c>
      <c r="E21" s="34"/>
      <c r="F21" s="34"/>
      <c r="G21" s="34"/>
      <c r="H21" s="34"/>
      <c r="I21" s="34"/>
      <c r="J21" s="34"/>
      <c r="K21" s="34"/>
      <c r="L21" s="34"/>
    </row>
    <row r="22" customFormat="false" ht="19.5" hidden="false" customHeight="true" outlineLevel="0" collapsed="false">
      <c r="A22" s="32" t="s">
        <v>70</v>
      </c>
      <c r="B22" s="32"/>
      <c r="C22" s="32"/>
      <c r="D22" s="33" t="s">
        <v>71</v>
      </c>
      <c r="E22" s="33"/>
      <c r="F22" s="33"/>
      <c r="G22" s="33"/>
      <c r="H22" s="33"/>
      <c r="I22" s="33"/>
      <c r="J22" s="33"/>
      <c r="K22" s="33"/>
      <c r="L22" s="33"/>
    </row>
    <row r="23" customFormat="false" ht="19.5" hidden="false" customHeight="true" outlineLevel="0" collapsed="false">
      <c r="A23" s="32" t="s">
        <v>72</v>
      </c>
      <c r="B23" s="32"/>
      <c r="C23" s="32"/>
      <c r="D23" s="34" t="s">
        <v>73</v>
      </c>
      <c r="E23" s="34"/>
      <c r="F23" s="34"/>
      <c r="G23" s="34"/>
      <c r="H23" s="34"/>
      <c r="I23" s="34"/>
      <c r="J23" s="34"/>
      <c r="K23" s="34"/>
      <c r="L23" s="34"/>
    </row>
  </sheetData>
  <mergeCells count="35">
    <mergeCell ref="A1:L1"/>
    <mergeCell ref="A2:L2"/>
    <mergeCell ref="A4:B4"/>
    <mergeCell ref="C4:D4"/>
    <mergeCell ref="E4:F4"/>
    <mergeCell ref="G4:H4"/>
    <mergeCell ref="I4:J4"/>
    <mergeCell ref="A5:B5"/>
    <mergeCell ref="C5:D5"/>
    <mergeCell ref="E5:F5"/>
    <mergeCell ref="G5:H5"/>
    <mergeCell ref="I5:J5"/>
    <mergeCell ref="A6:B6"/>
    <mergeCell ref="C6:D6"/>
    <mergeCell ref="E6:F6"/>
    <mergeCell ref="G6:H6"/>
    <mergeCell ref="I6:J6"/>
    <mergeCell ref="A8:L8"/>
    <mergeCell ref="A15:L15"/>
    <mergeCell ref="A16:C16"/>
    <mergeCell ref="D16:L16"/>
    <mergeCell ref="A17:C17"/>
    <mergeCell ref="D17:L17"/>
    <mergeCell ref="A18:C18"/>
    <mergeCell ref="D18:L18"/>
    <mergeCell ref="A19:C19"/>
    <mergeCell ref="D19:L19"/>
    <mergeCell ref="A20:C20"/>
    <mergeCell ref="D20:L20"/>
    <mergeCell ref="A21:C21"/>
    <mergeCell ref="D21:L21"/>
    <mergeCell ref="A22:C22"/>
    <mergeCell ref="D22:L22"/>
    <mergeCell ref="A23:C23"/>
    <mergeCell ref="D23:L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14"/>
    <col collapsed="false" customWidth="true" hidden="false" outlineLevel="0" max="4" min="4" style="0" width="12"/>
    <col collapsed="false" customWidth="true" hidden="false" outlineLevel="0" max="7" min="5" style="0" width="14"/>
    <col collapsed="false" customWidth="true" hidden="false" outlineLevel="0" max="8" min="8" style="0" width="16"/>
    <col collapsed="false" customWidth="true" hidden="false" outlineLevel="0" max="9" min="9" style="0" width="18"/>
    <col collapsed="false" customWidth="true" hidden="false" outlineLevel="0" max="11" min="10" style="0" width="16"/>
    <col collapsed="false" customWidth="true" hidden="false" outlineLevel="0" max="12" min="12" style="0" width="14"/>
  </cols>
  <sheetData>
    <row r="1" customFormat="false" ht="25.5" hidden="false" customHeight="true" outlineLevel="0" collapsed="false">
      <c r="A1" s="1" t="s">
        <v>74</v>
      </c>
      <c r="B1" s="1"/>
      <c r="C1" s="1"/>
      <c r="D1" s="1"/>
      <c r="E1" s="1"/>
      <c r="F1" s="1"/>
      <c r="G1" s="1"/>
      <c r="H1" s="1"/>
      <c r="I1" s="1"/>
      <c r="J1" s="1"/>
      <c r="K1" s="1"/>
      <c r="L1" s="1"/>
    </row>
    <row r="2" customFormat="false" ht="12.75" hidden="false" customHeight="true" outlineLevel="0" collapsed="false">
      <c r="A2" s="2" t="s">
        <v>75</v>
      </c>
      <c r="B2" s="2"/>
      <c r="C2" s="2"/>
      <c r="D2" s="2"/>
      <c r="E2" s="2"/>
      <c r="F2" s="2"/>
      <c r="G2" s="2"/>
      <c r="H2" s="2"/>
      <c r="I2" s="2"/>
      <c r="J2" s="2"/>
      <c r="K2" s="2"/>
      <c r="L2" s="2"/>
    </row>
    <row r="4" customFormat="false" ht="18" hidden="false" customHeight="true" outlineLevel="0" collapsed="false">
      <c r="A4" s="14" t="s">
        <v>76</v>
      </c>
      <c r="B4" s="14"/>
      <c r="C4" s="14"/>
      <c r="D4" s="14"/>
      <c r="E4" s="14"/>
      <c r="F4" s="14"/>
      <c r="G4" s="14"/>
      <c r="H4" s="14"/>
      <c r="I4" s="14"/>
      <c r="J4" s="14"/>
      <c r="K4" s="14"/>
      <c r="L4" s="14"/>
    </row>
    <row r="5" customFormat="false" ht="27.75" hidden="false" customHeight="true" outlineLevel="0" collapsed="false">
      <c r="A5" s="15" t="s">
        <v>77</v>
      </c>
      <c r="B5" s="15" t="s">
        <v>78</v>
      </c>
      <c r="C5" s="15" t="s">
        <v>79</v>
      </c>
      <c r="D5" s="15" t="s">
        <v>80</v>
      </c>
      <c r="E5" s="15"/>
      <c r="F5" s="15"/>
      <c r="G5" s="15"/>
      <c r="H5" s="15"/>
      <c r="I5" s="15"/>
      <c r="J5" s="15"/>
      <c r="K5" s="15"/>
      <c r="L5" s="15"/>
    </row>
    <row r="6" customFormat="false" ht="15" hidden="false" customHeight="true" outlineLevel="0" collapsed="false">
      <c r="A6" s="20" t="s">
        <v>81</v>
      </c>
      <c r="B6" s="35" t="n">
        <v>6.99</v>
      </c>
      <c r="C6" s="36" t="s">
        <v>20</v>
      </c>
      <c r="D6" s="37" t="s">
        <v>82</v>
      </c>
      <c r="E6" s="37"/>
      <c r="F6" s="37"/>
      <c r="G6" s="37"/>
      <c r="H6" s="37"/>
      <c r="I6" s="37"/>
      <c r="J6" s="37"/>
      <c r="K6" s="37"/>
      <c r="L6" s="37"/>
    </row>
    <row r="7" customFormat="false" ht="15" hidden="false" customHeight="false" outlineLevel="0" collapsed="false">
      <c r="A7" s="20" t="s">
        <v>83</v>
      </c>
      <c r="B7" s="38" t="n">
        <f aca="false">B6/1024</f>
        <v>0.006826171875</v>
      </c>
      <c r="C7" s="39" t="s">
        <v>84</v>
      </c>
      <c r="D7" s="40" t="n">
        <f aca="false">B6/1024</f>
        <v>0.006826171875</v>
      </c>
      <c r="E7" s="40"/>
      <c r="F7" s="40"/>
      <c r="G7" s="40"/>
      <c r="H7" s="40"/>
      <c r="I7" s="40"/>
      <c r="J7" s="40"/>
      <c r="K7" s="40"/>
      <c r="L7" s="40"/>
    </row>
    <row r="8" customFormat="false" ht="15" hidden="false" customHeight="true" outlineLevel="0" collapsed="false">
      <c r="A8" s="20" t="s">
        <v>85</v>
      </c>
      <c r="B8" s="41" t="n">
        <v>0</v>
      </c>
      <c r="C8" s="36" t="s">
        <v>86</v>
      </c>
      <c r="D8" s="37" t="s">
        <v>87</v>
      </c>
      <c r="E8" s="37"/>
      <c r="F8" s="37"/>
      <c r="G8" s="37"/>
      <c r="H8" s="37"/>
      <c r="I8" s="37"/>
      <c r="J8" s="37"/>
      <c r="K8" s="37"/>
      <c r="L8" s="37"/>
    </row>
    <row r="9" customFormat="false" ht="15" hidden="false" customHeight="true" outlineLevel="0" collapsed="false">
      <c r="A9" s="20" t="s">
        <v>88</v>
      </c>
      <c r="B9" s="41" t="n">
        <v>0</v>
      </c>
      <c r="C9" s="39" t="s">
        <v>89</v>
      </c>
      <c r="D9" s="42" t="s">
        <v>90</v>
      </c>
      <c r="E9" s="42"/>
      <c r="F9" s="42"/>
      <c r="G9" s="42"/>
      <c r="H9" s="42"/>
      <c r="I9" s="42"/>
      <c r="J9" s="42"/>
      <c r="K9" s="42"/>
      <c r="L9" s="42"/>
    </row>
    <row r="10" customFormat="false" ht="15" hidden="false" customHeight="true" outlineLevel="0" collapsed="false">
      <c r="A10" s="20" t="s">
        <v>91</v>
      </c>
      <c r="B10" s="41" t="n">
        <v>0</v>
      </c>
      <c r="C10" s="36" t="s">
        <v>92</v>
      </c>
      <c r="D10" s="37" t="s">
        <v>93</v>
      </c>
      <c r="E10" s="37"/>
      <c r="F10" s="37"/>
      <c r="G10" s="37"/>
      <c r="H10" s="37"/>
      <c r="I10" s="37"/>
      <c r="J10" s="37"/>
      <c r="K10" s="37"/>
      <c r="L10" s="37"/>
    </row>
    <row r="11" customFormat="false" ht="15" hidden="false" customHeight="true" outlineLevel="0" collapsed="false">
      <c r="A11" s="20" t="s">
        <v>94</v>
      </c>
      <c r="B11" s="41" t="n">
        <v>90</v>
      </c>
      <c r="C11" s="39" t="s">
        <v>95</v>
      </c>
      <c r="D11" s="42" t="s">
        <v>96</v>
      </c>
      <c r="E11" s="42"/>
      <c r="F11" s="42"/>
      <c r="G11" s="42"/>
      <c r="H11" s="42"/>
      <c r="I11" s="42"/>
      <c r="J11" s="42"/>
      <c r="K11" s="42"/>
      <c r="L11" s="42"/>
    </row>
    <row r="12" customFormat="false" ht="15" hidden="false" customHeight="true" outlineLevel="0" collapsed="false">
      <c r="A12" s="20" t="s">
        <v>97</v>
      </c>
      <c r="B12" s="41" t="n">
        <v>30</v>
      </c>
      <c r="C12" s="36" t="s">
        <v>95</v>
      </c>
      <c r="D12" s="37" t="s">
        <v>98</v>
      </c>
      <c r="E12" s="37"/>
      <c r="F12" s="37"/>
      <c r="G12" s="37"/>
      <c r="H12" s="37"/>
      <c r="I12" s="37"/>
      <c r="J12" s="37"/>
      <c r="K12" s="37"/>
      <c r="L12" s="37"/>
    </row>
    <row r="13" customFormat="false" ht="15" hidden="false" customHeight="true" outlineLevel="0" collapsed="false">
      <c r="A13" s="20" t="s">
        <v>99</v>
      </c>
      <c r="B13" s="43" t="n">
        <v>0.27</v>
      </c>
      <c r="C13" s="39" t="s">
        <v>100</v>
      </c>
      <c r="D13" s="42" t="s">
        <v>101</v>
      </c>
      <c r="E13" s="42"/>
      <c r="F13" s="42"/>
      <c r="G13" s="42"/>
      <c r="H13" s="42"/>
      <c r="I13" s="42"/>
      <c r="J13" s="42"/>
      <c r="K13" s="42"/>
      <c r="L13" s="42"/>
    </row>
    <row r="15" customFormat="false" ht="18" hidden="false" customHeight="true" outlineLevel="0" collapsed="false">
      <c r="A15" s="44" t="s">
        <v>102</v>
      </c>
      <c r="B15" s="44"/>
      <c r="C15" s="44"/>
      <c r="D15" s="44"/>
      <c r="E15" s="44"/>
      <c r="F15" s="44"/>
      <c r="G15" s="44"/>
      <c r="H15" s="44"/>
      <c r="I15" s="44"/>
      <c r="J15" s="44"/>
      <c r="K15" s="44"/>
      <c r="L15" s="44"/>
    </row>
    <row r="16" customFormat="false" ht="27.75" hidden="false" customHeight="true" outlineLevel="0" collapsed="false">
      <c r="A16" s="45" t="s">
        <v>103</v>
      </c>
      <c r="B16" s="45" t="s">
        <v>104</v>
      </c>
      <c r="C16" s="45" t="s">
        <v>105</v>
      </c>
      <c r="D16" s="45" t="s">
        <v>106</v>
      </c>
      <c r="E16" s="45" t="s">
        <v>107</v>
      </c>
      <c r="F16" s="45" t="s">
        <v>108</v>
      </c>
      <c r="G16" s="45" t="s">
        <v>109</v>
      </c>
      <c r="H16" s="45" t="s">
        <v>110</v>
      </c>
      <c r="I16" s="45" t="s">
        <v>111</v>
      </c>
      <c r="J16" s="45" t="s">
        <v>112</v>
      </c>
      <c r="K16" s="45" t="s">
        <v>113</v>
      </c>
      <c r="L16" s="45" t="s">
        <v>114</v>
      </c>
    </row>
    <row r="17" customFormat="false" ht="15" hidden="false" customHeight="false" outlineLevel="0" collapsed="false">
      <c r="A17" s="46" t="s">
        <v>115</v>
      </c>
      <c r="B17" s="47" t="n">
        <v>7775.51</v>
      </c>
      <c r="C17" s="48" t="n">
        <v>8.35089774</v>
      </c>
      <c r="D17" s="49" t="n">
        <v>0.00728928112659189</v>
      </c>
      <c r="E17" s="50" t="s">
        <v>116</v>
      </c>
      <c r="F17" s="17" t="s">
        <v>117</v>
      </c>
      <c r="G17" s="51" t="s">
        <v>118</v>
      </c>
      <c r="H17" s="18" t="n">
        <v>167.0179548</v>
      </c>
      <c r="I17" s="18" t="n">
        <v>57.2481848813922</v>
      </c>
      <c r="J17" s="18" t="n">
        <v>224.266139681392</v>
      </c>
      <c r="K17" s="52" t="n">
        <v>58.3727752026</v>
      </c>
      <c r="L17" s="53" t="n">
        <v>165.893364478792</v>
      </c>
    </row>
    <row r="18" customFormat="false" ht="15" hidden="false" customHeight="false" outlineLevel="0" collapsed="false">
      <c r="A18" s="46" t="s">
        <v>119</v>
      </c>
      <c r="B18" s="54" t="n">
        <v>7401.73</v>
      </c>
      <c r="C18" s="55" t="n">
        <v>7.94945802</v>
      </c>
      <c r="D18" s="56" t="n">
        <v>0.0069388748510553</v>
      </c>
      <c r="E18" s="50" t="s">
        <v>116</v>
      </c>
      <c r="F18" s="17" t="s">
        <v>117</v>
      </c>
      <c r="G18" s="51" t="s">
        <v>118</v>
      </c>
      <c r="H18" s="18" t="n">
        <v>158.9891604</v>
      </c>
      <c r="I18" s="18" t="n">
        <v>54.4961819201759</v>
      </c>
      <c r="J18" s="18" t="n">
        <v>213.485342320176</v>
      </c>
      <c r="K18" s="52" t="n">
        <v>55.5667115598</v>
      </c>
      <c r="L18" s="53" t="n">
        <v>157.918630760376</v>
      </c>
    </row>
    <row r="19" customFormat="false" ht="15" hidden="false" customHeight="false" outlineLevel="0" collapsed="false">
      <c r="A19" s="46" t="s">
        <v>120</v>
      </c>
      <c r="B19" s="47" t="n">
        <v>165555.92</v>
      </c>
      <c r="C19" s="48" t="n">
        <v>177.80705808</v>
      </c>
      <c r="D19" s="49" t="n">
        <v>0.155203149767868</v>
      </c>
      <c r="E19" s="50" t="s">
        <v>116</v>
      </c>
      <c r="F19" s="17" t="s">
        <v>121</v>
      </c>
      <c r="G19" s="51" t="s">
        <v>118</v>
      </c>
      <c r="H19" s="18" t="n">
        <v>2667.1058712</v>
      </c>
      <c r="I19" s="18" t="n">
        <v>914.194945061704</v>
      </c>
      <c r="J19" s="18" t="n">
        <v>3581.3008162617</v>
      </c>
      <c r="K19" s="52" t="n">
        <v>1242.8713359792</v>
      </c>
      <c r="L19" s="53" t="n">
        <v>2338.4294802825</v>
      </c>
    </row>
    <row r="20" customFormat="false" ht="15" hidden="false" customHeight="false" outlineLevel="0" collapsed="false">
      <c r="A20" s="46" t="s">
        <v>122</v>
      </c>
      <c r="B20" s="54" t="n">
        <v>3195.69</v>
      </c>
      <c r="C20" s="55" t="n">
        <v>3.43217106</v>
      </c>
      <c r="D20" s="56" t="n">
        <v>0.00299585272264307</v>
      </c>
      <c r="E20" s="50" t="s">
        <v>116</v>
      </c>
      <c r="F20" s="17" t="s">
        <v>123</v>
      </c>
      <c r="G20" s="51" t="s">
        <v>118</v>
      </c>
      <c r="H20" s="18" t="n">
        <v>34.3217106</v>
      </c>
      <c r="I20" s="18" t="n">
        <v>11.7643377697165</v>
      </c>
      <c r="J20" s="18" t="n">
        <v>46.0860483697165</v>
      </c>
      <c r="K20" s="52" t="n">
        <v>23.9908757094</v>
      </c>
      <c r="L20" s="53" t="n">
        <v>22.0951726603165</v>
      </c>
    </row>
    <row r="21" customFormat="false" ht="15" hidden="false" customHeight="false" outlineLevel="0" collapsed="false">
      <c r="A21" s="46" t="s">
        <v>124</v>
      </c>
      <c r="B21" s="47" t="n">
        <v>882775.79</v>
      </c>
      <c r="C21" s="48" t="n">
        <v>948.10119846</v>
      </c>
      <c r="D21" s="49" t="n">
        <v>0.827572841531842</v>
      </c>
      <c r="E21" s="50" t="s">
        <v>116</v>
      </c>
      <c r="F21" s="17" t="s">
        <v>125</v>
      </c>
      <c r="G21" s="51" t="s">
        <v>118</v>
      </c>
      <c r="H21" s="18" t="n">
        <v>1896.20239692</v>
      </c>
      <c r="I21" s="18" t="n">
        <v>649.954943595173</v>
      </c>
      <c r="J21" s="18" t="n">
        <v>2546.15734051517</v>
      </c>
      <c r="K21" s="52" t="n">
        <v>6627.2273772354</v>
      </c>
      <c r="L21" s="53" t="n">
        <v>-4081.07003672023</v>
      </c>
    </row>
    <row r="22" customFormat="false" ht="15" hidden="false" customHeight="false" outlineLevel="0" collapsed="false">
      <c r="A22" s="57" t="s">
        <v>126</v>
      </c>
      <c r="B22" s="58" t="n">
        <f aca="false">SUM(B17:B21)</f>
        <v>1066704.64</v>
      </c>
      <c r="C22" s="59" t="n">
        <f aca="false">SUM(C17:C21)</f>
        <v>1145.64078336</v>
      </c>
      <c r="D22" s="60" t="s">
        <v>127</v>
      </c>
      <c r="E22" s="60"/>
      <c r="F22" s="60"/>
      <c r="G22" s="60"/>
      <c r="H22" s="61" t="n">
        <f aca="false">SUM(H17:H21)</f>
        <v>4923.63709392</v>
      </c>
      <c r="I22" s="61" t="n">
        <f aca="false">SUM(I17:I21)</f>
        <v>1687.65859322816</v>
      </c>
      <c r="J22" s="61" t="n">
        <f aca="false">SUM(J17:J21)</f>
        <v>6611.29568714816</v>
      </c>
      <c r="K22" s="61" t="n">
        <f aca="false">SUM(K17:K21)</f>
        <v>8008.0290756864</v>
      </c>
      <c r="L22" s="61" t="n">
        <f aca="false">SUM(L17:L21)</f>
        <v>-1396.73338853824</v>
      </c>
    </row>
    <row r="24" customFormat="false" ht="18" hidden="false" customHeight="true" outlineLevel="0" collapsed="false">
      <c r="A24" s="14" t="s">
        <v>128</v>
      </c>
      <c r="B24" s="14"/>
      <c r="C24" s="14"/>
      <c r="D24" s="14"/>
      <c r="E24" s="14"/>
      <c r="F24" s="14"/>
      <c r="G24" s="14"/>
      <c r="H24" s="14"/>
      <c r="I24" s="14"/>
      <c r="J24" s="14"/>
      <c r="K24" s="14"/>
      <c r="L24" s="14"/>
    </row>
    <row r="25" customFormat="false" ht="27.75" hidden="false" customHeight="true" outlineLevel="0" collapsed="false">
      <c r="A25" s="15" t="s">
        <v>129</v>
      </c>
      <c r="B25" s="15" t="s">
        <v>21</v>
      </c>
      <c r="C25" s="15" t="s">
        <v>22</v>
      </c>
      <c r="D25" s="15" t="s">
        <v>130</v>
      </c>
      <c r="E25" s="15" t="s">
        <v>24</v>
      </c>
      <c r="F25" s="15" t="s">
        <v>80</v>
      </c>
      <c r="G25" s="15"/>
      <c r="H25" s="15"/>
      <c r="I25" s="15"/>
      <c r="J25" s="15"/>
      <c r="K25" s="15"/>
      <c r="L25" s="15"/>
    </row>
    <row r="26" customFormat="false" ht="22.35" hidden="false" customHeight="true" outlineLevel="0" collapsed="false">
      <c r="A26" s="62" t="s">
        <v>131</v>
      </c>
      <c r="B26" s="63" t="n">
        <v>35523.12</v>
      </c>
      <c r="C26" s="63" t="n">
        <v>426277.44</v>
      </c>
      <c r="D26" s="63" t="n">
        <v>0</v>
      </c>
      <c r="E26" s="64" t="s">
        <v>32</v>
      </c>
      <c r="F26" s="62" t="s">
        <v>132</v>
      </c>
      <c r="G26" s="62"/>
      <c r="H26" s="62"/>
      <c r="I26" s="62"/>
      <c r="J26" s="62"/>
      <c r="K26" s="62"/>
      <c r="L26" s="62"/>
    </row>
    <row r="27" customFormat="false" ht="15" hidden="false" customHeight="true" outlineLevel="0" collapsed="false">
      <c r="A27" s="65" t="s">
        <v>133</v>
      </c>
      <c r="B27" s="66" t="n">
        <v>8008.03</v>
      </c>
      <c r="C27" s="66" t="n">
        <v>96096.36</v>
      </c>
      <c r="D27" s="66" t="n">
        <v>330181.09</v>
      </c>
      <c r="E27" s="50" t="s">
        <v>40</v>
      </c>
      <c r="F27" s="65" t="s">
        <v>134</v>
      </c>
      <c r="G27" s="65"/>
      <c r="H27" s="65"/>
      <c r="I27" s="65"/>
      <c r="J27" s="65"/>
      <c r="K27" s="65"/>
      <c r="L27" s="65"/>
    </row>
    <row r="28" customFormat="false" ht="15" hidden="false" customHeight="true" outlineLevel="0" collapsed="false">
      <c r="A28" s="24" t="s">
        <v>135</v>
      </c>
      <c r="B28" s="26" t="n">
        <v>5845.86</v>
      </c>
      <c r="C28" s="26" t="n">
        <v>70150.32</v>
      </c>
      <c r="D28" s="26" t="n">
        <v>356127.11</v>
      </c>
      <c r="E28" s="25" t="s">
        <v>48</v>
      </c>
      <c r="F28" s="24" t="s">
        <v>136</v>
      </c>
      <c r="G28" s="24"/>
      <c r="H28" s="24"/>
      <c r="I28" s="24"/>
      <c r="J28" s="24"/>
      <c r="K28" s="24"/>
      <c r="L28" s="24"/>
    </row>
    <row r="29" customFormat="false" ht="15" hidden="false" customHeight="true" outlineLevel="0" collapsed="false">
      <c r="A29" s="28" t="s">
        <v>137</v>
      </c>
      <c r="B29" s="30" t="n">
        <v>8126</v>
      </c>
      <c r="C29" s="30" t="n">
        <v>97512</v>
      </c>
      <c r="D29" s="30" t="n">
        <v>328765.44</v>
      </c>
      <c r="E29" s="29" t="s">
        <v>53</v>
      </c>
      <c r="F29" s="28" t="s">
        <v>138</v>
      </c>
      <c r="G29" s="28"/>
      <c r="H29" s="28"/>
      <c r="I29" s="28"/>
      <c r="J29" s="28"/>
      <c r="K29" s="28"/>
      <c r="L29" s="28"/>
    </row>
  </sheetData>
  <mergeCells count="17">
    <mergeCell ref="A1:L1"/>
    <mergeCell ref="A2:L2"/>
    <mergeCell ref="A4:L4"/>
    <mergeCell ref="D6:L6"/>
    <mergeCell ref="D7:L7"/>
    <mergeCell ref="D8:L8"/>
    <mergeCell ref="D9:L9"/>
    <mergeCell ref="D10:L10"/>
    <mergeCell ref="D11:L11"/>
    <mergeCell ref="D12:L12"/>
    <mergeCell ref="D13:L13"/>
    <mergeCell ref="A15:L15"/>
    <mergeCell ref="A24:L24"/>
    <mergeCell ref="F26:L26"/>
    <mergeCell ref="F27:L27"/>
    <mergeCell ref="F28:L28"/>
    <mergeCell ref="F29:L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3" min="3" style="0" width="14"/>
    <col collapsed="false" customWidth="true" hidden="false" outlineLevel="0" max="4" min="4" style="0" width="16"/>
    <col collapsed="false" customWidth="true" hidden="false" outlineLevel="0" max="5" min="5" style="0" width="20"/>
    <col collapsed="false" customWidth="true" hidden="false" outlineLevel="0" max="6" min="6" style="0" width="16"/>
    <col collapsed="false" customWidth="true" hidden="false" outlineLevel="0" max="8" min="7" style="0" width="14"/>
    <col collapsed="false" customWidth="true" hidden="false" outlineLevel="0" max="12" min="9" style="0" width="12"/>
  </cols>
  <sheetData>
    <row r="1" customFormat="false" ht="25.5" hidden="false" customHeight="true" outlineLevel="0" collapsed="false">
      <c r="A1" s="1" t="s">
        <v>139</v>
      </c>
      <c r="B1" s="1"/>
      <c r="C1" s="1"/>
      <c r="D1" s="1"/>
      <c r="E1" s="1"/>
      <c r="F1" s="1"/>
      <c r="G1" s="1"/>
      <c r="H1" s="1"/>
      <c r="I1" s="1"/>
      <c r="J1" s="1"/>
      <c r="K1" s="1"/>
      <c r="L1" s="1"/>
    </row>
    <row r="2" customFormat="false" ht="12.75" hidden="false" customHeight="true" outlineLevel="0" collapsed="false">
      <c r="A2" s="2" t="s">
        <v>140</v>
      </c>
      <c r="B2" s="2"/>
      <c r="C2" s="2"/>
      <c r="D2" s="2"/>
      <c r="E2" s="2"/>
      <c r="F2" s="2"/>
      <c r="G2" s="2"/>
      <c r="H2" s="2"/>
      <c r="I2" s="2"/>
      <c r="J2" s="2"/>
      <c r="K2" s="2"/>
      <c r="L2" s="2"/>
    </row>
    <row r="4" customFormat="false" ht="18" hidden="false" customHeight="true" outlineLevel="0" collapsed="false">
      <c r="A4" s="67" t="s">
        <v>141</v>
      </c>
      <c r="B4" s="67"/>
      <c r="C4" s="67"/>
      <c r="D4" s="67"/>
      <c r="E4" s="67"/>
      <c r="F4" s="67"/>
      <c r="G4" s="67"/>
      <c r="H4" s="67"/>
      <c r="I4" s="67"/>
      <c r="J4" s="67"/>
      <c r="K4" s="67"/>
      <c r="L4" s="67"/>
    </row>
    <row r="5" customFormat="false" ht="12.75" hidden="false" customHeight="true" outlineLevel="0" collapsed="false">
      <c r="A5" s="68" t="s">
        <v>142</v>
      </c>
      <c r="B5" s="68"/>
      <c r="C5" s="68"/>
      <c r="D5" s="68"/>
      <c r="E5" s="68"/>
      <c r="F5" s="68"/>
      <c r="G5" s="68"/>
      <c r="H5" s="68"/>
      <c r="I5" s="68"/>
      <c r="J5" s="68"/>
      <c r="K5" s="68"/>
      <c r="L5" s="68"/>
      <c r="M5" s="68"/>
      <c r="N5" s="68"/>
    </row>
    <row r="6" customFormat="false" ht="27.75" hidden="false" customHeight="true" outlineLevel="0" collapsed="false">
      <c r="A6" s="69" t="s">
        <v>143</v>
      </c>
      <c r="B6" s="69" t="s">
        <v>144</v>
      </c>
      <c r="C6" s="69" t="s">
        <v>145</v>
      </c>
      <c r="D6" s="69" t="s">
        <v>146</v>
      </c>
      <c r="E6" s="69" t="s">
        <v>147</v>
      </c>
      <c r="F6" s="69" t="s">
        <v>80</v>
      </c>
      <c r="G6" s="69"/>
      <c r="H6" s="69"/>
      <c r="I6" s="69"/>
      <c r="J6" s="69"/>
      <c r="K6" s="69"/>
      <c r="L6" s="69"/>
    </row>
    <row r="7" customFormat="false" ht="15" hidden="false" customHeight="true" outlineLevel="0" collapsed="false">
      <c r="A7" s="70" t="s">
        <v>115</v>
      </c>
      <c r="B7" s="71" t="n">
        <v>7775.51</v>
      </c>
      <c r="C7" s="47" t="n">
        <f aca="false">B7*1.074</f>
        <v>8350.89774</v>
      </c>
      <c r="D7" s="72" t="n">
        <v>0</v>
      </c>
      <c r="E7" s="26" t="n">
        <f aca="false">C7*D7</f>
        <v>0</v>
      </c>
      <c r="F7" s="42" t="s">
        <v>148</v>
      </c>
      <c r="G7" s="42"/>
      <c r="H7" s="42"/>
      <c r="I7" s="42"/>
      <c r="J7" s="42"/>
      <c r="K7" s="42"/>
      <c r="L7" s="42"/>
    </row>
    <row r="8" customFormat="false" ht="15" hidden="false" customHeight="true" outlineLevel="0" collapsed="false">
      <c r="A8" s="73" t="s">
        <v>119</v>
      </c>
      <c r="B8" s="71" t="n">
        <v>7401.73</v>
      </c>
      <c r="C8" s="54" t="n">
        <f aca="false">B8*1.074</f>
        <v>7949.45802</v>
      </c>
      <c r="D8" s="72" t="n">
        <v>0</v>
      </c>
      <c r="E8" s="26" t="n">
        <f aca="false">C8*D8</f>
        <v>0</v>
      </c>
      <c r="F8" s="37" t="s">
        <v>148</v>
      </c>
      <c r="G8" s="37"/>
      <c r="H8" s="37"/>
      <c r="I8" s="37"/>
      <c r="J8" s="37"/>
      <c r="K8" s="37"/>
      <c r="L8" s="37"/>
    </row>
    <row r="9" customFormat="false" ht="15" hidden="false" customHeight="true" outlineLevel="0" collapsed="false">
      <c r="A9" s="70" t="s">
        <v>120</v>
      </c>
      <c r="B9" s="71" t="n">
        <v>165555.92</v>
      </c>
      <c r="C9" s="47" t="n">
        <f aca="false">B9*1.074</f>
        <v>177807.05808</v>
      </c>
      <c r="D9" s="72" t="n">
        <v>0.01</v>
      </c>
      <c r="E9" s="74" t="n">
        <f aca="false">C9*D9</f>
        <v>1778.0705808</v>
      </c>
      <c r="F9" s="42" t="s">
        <v>149</v>
      </c>
      <c r="G9" s="42"/>
      <c r="H9" s="42"/>
      <c r="I9" s="42"/>
      <c r="J9" s="42"/>
      <c r="K9" s="42"/>
      <c r="L9" s="42"/>
    </row>
    <row r="10" customFormat="false" ht="15" hidden="false" customHeight="true" outlineLevel="0" collapsed="false">
      <c r="A10" s="73" t="s">
        <v>122</v>
      </c>
      <c r="B10" s="71" t="n">
        <v>3195.69</v>
      </c>
      <c r="C10" s="54" t="n">
        <f aca="false">B10*1.074</f>
        <v>3432.17106</v>
      </c>
      <c r="D10" s="72" t="n">
        <v>0.03</v>
      </c>
      <c r="E10" s="74" t="n">
        <f aca="false">C10*D10</f>
        <v>102.9651318</v>
      </c>
      <c r="F10" s="37" t="s">
        <v>149</v>
      </c>
      <c r="G10" s="37"/>
      <c r="H10" s="37"/>
      <c r="I10" s="37"/>
      <c r="J10" s="37"/>
      <c r="K10" s="37"/>
      <c r="L10" s="37"/>
    </row>
    <row r="11" customFormat="false" ht="15" hidden="false" customHeight="true" outlineLevel="0" collapsed="false">
      <c r="A11" s="70" t="s">
        <v>124</v>
      </c>
      <c r="B11" s="71" t="n">
        <v>882775.79</v>
      </c>
      <c r="C11" s="47" t="n">
        <f aca="false">B11*1.074</f>
        <v>948101.19846</v>
      </c>
      <c r="D11" s="72" t="n">
        <v>0.022</v>
      </c>
      <c r="E11" s="74" t="n">
        <f aca="false">C11*D11</f>
        <v>20858.22636612</v>
      </c>
      <c r="F11" s="42" t="s">
        <v>150</v>
      </c>
      <c r="G11" s="42"/>
      <c r="H11" s="42"/>
      <c r="I11" s="42"/>
      <c r="J11" s="42"/>
      <c r="K11" s="42"/>
      <c r="L11" s="42"/>
    </row>
    <row r="12" customFormat="false" ht="15" hidden="false" customHeight="false" outlineLevel="0" collapsed="false">
      <c r="A12" s="75" t="s">
        <v>151</v>
      </c>
      <c r="B12" s="76"/>
      <c r="C12" s="76"/>
      <c r="D12" s="76"/>
      <c r="E12" s="77" t="n">
        <f aca="false">SUM(E7:E11)</f>
        <v>22739.26207872</v>
      </c>
      <c r="F12" s="76"/>
      <c r="G12" s="76"/>
      <c r="H12" s="76"/>
      <c r="I12" s="76"/>
      <c r="J12" s="76"/>
      <c r="K12" s="76"/>
      <c r="L12" s="76"/>
    </row>
    <row r="14" customFormat="false" ht="18" hidden="false" customHeight="true" outlineLevel="0" collapsed="false">
      <c r="A14" s="78" t="s">
        <v>152</v>
      </c>
      <c r="B14" s="78"/>
      <c r="C14" s="78"/>
      <c r="D14" s="78"/>
      <c r="E14" s="78"/>
      <c r="F14" s="78"/>
      <c r="G14" s="78"/>
      <c r="H14" s="78"/>
      <c r="I14" s="78"/>
      <c r="J14" s="78"/>
      <c r="K14" s="78"/>
      <c r="L14" s="78"/>
    </row>
    <row r="15" customFormat="false" ht="12.75" hidden="false" customHeight="true" outlineLevel="0" collapsed="false">
      <c r="A15" s="68" t="s">
        <v>153</v>
      </c>
      <c r="B15" s="68"/>
      <c r="C15" s="68"/>
      <c r="D15" s="68"/>
      <c r="E15" s="68"/>
      <c r="F15" s="68"/>
      <c r="G15" s="68"/>
      <c r="H15" s="68"/>
      <c r="I15" s="68"/>
      <c r="J15" s="68"/>
      <c r="K15" s="68"/>
      <c r="L15" s="68"/>
      <c r="M15" s="68"/>
      <c r="N15" s="68"/>
    </row>
    <row r="16" customFormat="false" ht="27.75" hidden="false" customHeight="true" outlineLevel="0" collapsed="false">
      <c r="A16" s="79" t="s">
        <v>154</v>
      </c>
      <c r="B16" s="79" t="s">
        <v>145</v>
      </c>
      <c r="C16" s="79" t="s">
        <v>155</v>
      </c>
      <c r="D16" s="79" t="s">
        <v>156</v>
      </c>
      <c r="E16" s="79" t="s">
        <v>157</v>
      </c>
      <c r="F16" s="79" t="s">
        <v>158</v>
      </c>
      <c r="G16" s="79" t="s">
        <v>159</v>
      </c>
      <c r="H16" s="79" t="s">
        <v>160</v>
      </c>
      <c r="I16" s="79"/>
      <c r="J16" s="79"/>
      <c r="K16" s="79"/>
      <c r="L16" s="79"/>
    </row>
    <row r="17" customFormat="false" ht="15" hidden="false" customHeight="true" outlineLevel="0" collapsed="false">
      <c r="A17" s="70" t="s">
        <v>161</v>
      </c>
      <c r="B17" s="80" t="n">
        <v>316262</v>
      </c>
      <c r="C17" s="72" t="n">
        <v>0.087</v>
      </c>
      <c r="D17" s="72" t="n">
        <v>0.083</v>
      </c>
      <c r="E17" s="72" t="n">
        <v>0.07</v>
      </c>
      <c r="F17" s="72" t="n">
        <v>0.05</v>
      </c>
      <c r="G17" s="63" t="n">
        <v>19494</v>
      </c>
      <c r="H17" s="81" t="s">
        <v>162</v>
      </c>
      <c r="I17" s="81"/>
      <c r="J17" s="81"/>
      <c r="K17" s="81"/>
      <c r="L17" s="81"/>
    </row>
    <row r="18" customFormat="false" ht="22.35" hidden="false" customHeight="true" outlineLevel="0" collapsed="false">
      <c r="A18" s="73" t="s">
        <v>163</v>
      </c>
      <c r="B18" s="80" t="n">
        <v>829379</v>
      </c>
      <c r="C18" s="72" t="n">
        <v>0.087</v>
      </c>
      <c r="D18" s="72" t="n">
        <v>0.083</v>
      </c>
      <c r="E18" s="72" t="n">
        <v>0.07</v>
      </c>
      <c r="F18" s="72" t="n">
        <v>0.05</v>
      </c>
      <c r="G18" s="63" t="n">
        <v>45151</v>
      </c>
      <c r="H18" s="82" t="s">
        <v>164</v>
      </c>
      <c r="I18" s="82"/>
      <c r="J18" s="82"/>
      <c r="K18" s="82"/>
      <c r="L18" s="82"/>
    </row>
    <row r="19" customFormat="false" ht="15" hidden="false" customHeight="false" outlineLevel="0" collapsed="false">
      <c r="A19" s="83" t="s">
        <v>165</v>
      </c>
      <c r="B19" s="84"/>
      <c r="C19" s="84"/>
      <c r="D19" s="84"/>
      <c r="E19" s="84"/>
      <c r="F19" s="84"/>
      <c r="G19" s="85" t="n">
        <f aca="false">SUM(G17:G18)</f>
        <v>64645</v>
      </c>
      <c r="H19" s="84"/>
      <c r="I19" s="84"/>
      <c r="J19" s="84"/>
      <c r="K19" s="84"/>
      <c r="L19" s="84"/>
    </row>
    <row r="21" customFormat="false" ht="18" hidden="false" customHeight="true" outlineLevel="0" collapsed="false">
      <c r="A21" s="14" t="s">
        <v>166</v>
      </c>
      <c r="B21" s="14"/>
      <c r="C21" s="14"/>
      <c r="D21" s="14"/>
      <c r="E21" s="14"/>
      <c r="F21" s="14"/>
      <c r="G21" s="14"/>
      <c r="H21" s="14"/>
      <c r="I21" s="14"/>
      <c r="J21" s="14"/>
      <c r="K21" s="14"/>
      <c r="L21" s="14"/>
    </row>
    <row r="22" customFormat="false" ht="12.75" hidden="false" customHeight="true" outlineLevel="0" collapsed="false">
      <c r="A22" s="68" t="s">
        <v>167</v>
      </c>
      <c r="B22" s="68"/>
      <c r="C22" s="68"/>
      <c r="D22" s="68"/>
      <c r="E22" s="68"/>
      <c r="F22" s="68"/>
      <c r="G22" s="68"/>
      <c r="H22" s="68"/>
      <c r="I22" s="68"/>
      <c r="J22" s="68"/>
      <c r="K22" s="68"/>
      <c r="L22" s="68"/>
      <c r="M22" s="68"/>
      <c r="N22" s="68"/>
    </row>
    <row r="23" customFormat="false" ht="27.75" hidden="false" customHeight="true" outlineLevel="0" collapsed="false">
      <c r="A23" s="15" t="s">
        <v>168</v>
      </c>
      <c r="B23" s="15" t="s">
        <v>169</v>
      </c>
      <c r="C23" s="15" t="s">
        <v>170</v>
      </c>
      <c r="D23" s="15" t="s">
        <v>171</v>
      </c>
      <c r="E23" s="15" t="s">
        <v>172</v>
      </c>
      <c r="F23" s="15" t="s">
        <v>173</v>
      </c>
      <c r="G23" s="15" t="s">
        <v>80</v>
      </c>
      <c r="H23" s="15"/>
      <c r="I23" s="15"/>
      <c r="J23" s="15"/>
      <c r="K23" s="15"/>
      <c r="L23" s="15"/>
    </row>
    <row r="24" customFormat="false" ht="22.35" hidden="false" customHeight="true" outlineLevel="0" collapsed="false">
      <c r="A24" s="20" t="s">
        <v>174</v>
      </c>
      <c r="B24" s="36" t="s">
        <v>175</v>
      </c>
      <c r="C24" s="36" t="s">
        <v>176</v>
      </c>
      <c r="D24" s="52" t="n">
        <v>0</v>
      </c>
      <c r="E24" s="36" t="s">
        <v>177</v>
      </c>
      <c r="F24" s="36" t="s">
        <v>178</v>
      </c>
      <c r="G24" s="82" t="s">
        <v>179</v>
      </c>
      <c r="H24" s="82"/>
      <c r="I24" s="82"/>
      <c r="J24" s="82"/>
      <c r="K24" s="82"/>
      <c r="L24" s="82"/>
    </row>
    <row r="25" customFormat="false" ht="22.35" hidden="false" customHeight="true" outlineLevel="0" collapsed="false">
      <c r="A25" s="20" t="s">
        <v>180</v>
      </c>
      <c r="B25" s="39" t="s">
        <v>181</v>
      </c>
      <c r="C25" s="39" t="s">
        <v>176</v>
      </c>
      <c r="D25" s="52" t="n">
        <v>0</v>
      </c>
      <c r="E25" s="39" t="s">
        <v>182</v>
      </c>
      <c r="F25" s="39" t="s">
        <v>183</v>
      </c>
      <c r="G25" s="81" t="s">
        <v>184</v>
      </c>
      <c r="H25" s="81"/>
      <c r="I25" s="81"/>
      <c r="J25" s="81"/>
      <c r="K25" s="81"/>
      <c r="L25" s="81"/>
    </row>
    <row r="26" customFormat="false" ht="22.35" hidden="false" customHeight="true" outlineLevel="0" collapsed="false">
      <c r="A26" s="20" t="s">
        <v>185</v>
      </c>
      <c r="B26" s="36" t="s">
        <v>186</v>
      </c>
      <c r="C26" s="36" t="s">
        <v>176</v>
      </c>
      <c r="D26" s="52" t="n">
        <v>0</v>
      </c>
      <c r="E26" s="36" t="s">
        <v>187</v>
      </c>
      <c r="F26" s="36" t="s">
        <v>188</v>
      </c>
      <c r="G26" s="82" t="s">
        <v>189</v>
      </c>
      <c r="H26" s="82"/>
      <c r="I26" s="82"/>
      <c r="J26" s="82"/>
      <c r="K26" s="82"/>
      <c r="L26" s="82"/>
    </row>
    <row r="27" customFormat="false" ht="15" hidden="false" customHeight="true" outlineLevel="0" collapsed="false">
      <c r="A27" s="20" t="s">
        <v>190</v>
      </c>
      <c r="B27" s="39" t="s">
        <v>191</v>
      </c>
      <c r="C27" s="39" t="s">
        <v>176</v>
      </c>
      <c r="D27" s="52" t="n">
        <v>0</v>
      </c>
      <c r="E27" s="39" t="s">
        <v>192</v>
      </c>
      <c r="F27" s="39" t="s">
        <v>193</v>
      </c>
      <c r="G27" s="81" t="s">
        <v>194</v>
      </c>
      <c r="H27" s="81"/>
      <c r="I27" s="81"/>
      <c r="J27" s="81"/>
      <c r="K27" s="81"/>
      <c r="L27" s="81"/>
    </row>
    <row r="28" customFormat="false" ht="22.35" hidden="false" customHeight="true" outlineLevel="0" collapsed="false">
      <c r="A28" s="20" t="s">
        <v>195</v>
      </c>
      <c r="B28" s="36" t="s">
        <v>196</v>
      </c>
      <c r="C28" s="36" t="s">
        <v>176</v>
      </c>
      <c r="D28" s="52" t="n">
        <v>0</v>
      </c>
      <c r="E28" s="36" t="s">
        <v>197</v>
      </c>
      <c r="F28" s="36" t="s">
        <v>198</v>
      </c>
      <c r="G28" s="82" t="s">
        <v>199</v>
      </c>
      <c r="H28" s="82"/>
      <c r="I28" s="82"/>
      <c r="J28" s="82"/>
      <c r="K28" s="82"/>
      <c r="L28" s="82"/>
    </row>
    <row r="29" customFormat="false" ht="15" hidden="false" customHeight="false" outlineLevel="0" collapsed="false">
      <c r="A29" s="86" t="s">
        <v>200</v>
      </c>
      <c r="B29" s="87"/>
      <c r="C29" s="87"/>
      <c r="D29" s="88" t="n">
        <v>0</v>
      </c>
      <c r="E29" s="87"/>
      <c r="F29" s="87"/>
      <c r="G29" s="87"/>
      <c r="H29" s="87"/>
      <c r="I29" s="87"/>
      <c r="J29" s="87"/>
      <c r="K29" s="87"/>
      <c r="L29" s="87"/>
    </row>
    <row r="31" customFormat="false" ht="18" hidden="false" customHeight="true" outlineLevel="0" collapsed="false">
      <c r="A31" s="89" t="s">
        <v>201</v>
      </c>
      <c r="B31" s="89"/>
      <c r="C31" s="89"/>
      <c r="D31" s="89"/>
      <c r="E31" s="89"/>
      <c r="F31" s="89"/>
      <c r="G31" s="89"/>
      <c r="H31" s="89"/>
      <c r="I31" s="89"/>
      <c r="J31" s="89"/>
      <c r="K31" s="89"/>
      <c r="L31" s="89"/>
    </row>
    <row r="32" customFormat="false" ht="15" hidden="false" customHeight="true" outlineLevel="0" collapsed="false">
      <c r="A32" s="90" t="s">
        <v>202</v>
      </c>
      <c r="B32" s="90"/>
      <c r="C32" s="90"/>
      <c r="D32" s="91" t="n">
        <f aca="false">E12</f>
        <v>22739.26207872</v>
      </c>
      <c r="E32" s="92"/>
      <c r="F32" s="92"/>
      <c r="G32" s="92"/>
      <c r="H32" s="92"/>
      <c r="I32" s="92"/>
      <c r="J32" s="92"/>
      <c r="K32" s="92"/>
      <c r="L32" s="92"/>
    </row>
    <row r="33" customFormat="false" ht="15" hidden="false" customHeight="true" outlineLevel="0" collapsed="false">
      <c r="A33" s="90" t="s">
        <v>203</v>
      </c>
      <c r="B33" s="90"/>
      <c r="C33" s="90"/>
      <c r="D33" s="91" t="n">
        <f aca="false">G19</f>
        <v>64645</v>
      </c>
      <c r="E33" s="92"/>
      <c r="F33" s="92"/>
      <c r="G33" s="92"/>
      <c r="H33" s="92"/>
      <c r="I33" s="92"/>
      <c r="J33" s="92"/>
      <c r="K33" s="92"/>
      <c r="L33" s="92"/>
    </row>
    <row r="34" customFormat="false" ht="15" hidden="false" customHeight="true" outlineLevel="0" collapsed="false">
      <c r="A34" s="90" t="s">
        <v>204</v>
      </c>
      <c r="B34" s="90"/>
      <c r="C34" s="90"/>
      <c r="D34" s="93" t="s">
        <v>205</v>
      </c>
      <c r="E34" s="92"/>
      <c r="F34" s="92"/>
      <c r="G34" s="92"/>
      <c r="H34" s="92"/>
      <c r="I34" s="92"/>
      <c r="J34" s="92"/>
      <c r="K34" s="92"/>
      <c r="L34" s="92"/>
    </row>
    <row r="35" customFormat="false" ht="15" hidden="false" customHeight="true" outlineLevel="0" collapsed="false">
      <c r="A35" s="90" t="s">
        <v>206</v>
      </c>
      <c r="B35" s="90"/>
      <c r="C35" s="90"/>
      <c r="D35" s="91" t="n">
        <f aca="false">SUM(D32:D34)*0.1</f>
        <v>8738.426207872</v>
      </c>
      <c r="E35" s="92"/>
      <c r="F35" s="92"/>
      <c r="G35" s="92"/>
      <c r="H35" s="92"/>
      <c r="I35" s="92"/>
      <c r="J35" s="92"/>
      <c r="K35" s="92"/>
      <c r="L35" s="92"/>
    </row>
    <row r="36" customFormat="false" ht="25.5" hidden="false" customHeight="true" outlineLevel="0" collapsed="false">
      <c r="A36" s="94" t="s">
        <v>207</v>
      </c>
      <c r="B36" s="94"/>
      <c r="C36" s="94"/>
      <c r="D36" s="95" t="n">
        <f aca="false">SUM(D32:D35)</f>
        <v>96122.688286592</v>
      </c>
      <c r="E36" s="96"/>
      <c r="F36" s="96"/>
      <c r="G36" s="96"/>
      <c r="H36" s="96"/>
      <c r="I36" s="96"/>
      <c r="J36" s="96"/>
      <c r="K36" s="96"/>
      <c r="L36" s="96"/>
    </row>
    <row r="38" customFormat="false" ht="18" hidden="false" customHeight="true" outlineLevel="0" collapsed="false">
      <c r="A38" s="14" t="s">
        <v>208</v>
      </c>
      <c r="B38" s="14"/>
      <c r="C38" s="14"/>
      <c r="D38" s="14"/>
      <c r="E38" s="14"/>
      <c r="F38" s="14"/>
      <c r="G38" s="14"/>
      <c r="H38" s="14"/>
      <c r="I38" s="14"/>
      <c r="J38" s="14"/>
      <c r="K38" s="14"/>
      <c r="L38" s="14"/>
    </row>
    <row r="39" customFormat="false" ht="15" hidden="false" customHeight="true" outlineLevel="0" collapsed="false">
      <c r="A39" s="97" t="s">
        <v>209</v>
      </c>
      <c r="B39" s="97"/>
      <c r="C39" s="97"/>
      <c r="D39" s="98" t="n">
        <f aca="false">D36</f>
        <v>96122.688286592</v>
      </c>
      <c r="E39" s="92"/>
      <c r="F39" s="92"/>
      <c r="G39" s="92"/>
      <c r="H39" s="92"/>
      <c r="I39" s="92"/>
      <c r="J39" s="92"/>
      <c r="K39" s="92"/>
      <c r="L39" s="92"/>
    </row>
    <row r="40" customFormat="false" ht="15" hidden="false" customHeight="true" outlineLevel="0" collapsed="false">
      <c r="A40" s="32" t="s">
        <v>210</v>
      </c>
      <c r="B40" s="32"/>
      <c r="C40" s="32"/>
      <c r="D40" s="99" t="s">
        <v>211</v>
      </c>
      <c r="E40" s="100"/>
      <c r="F40" s="100"/>
      <c r="G40" s="100"/>
      <c r="H40" s="100"/>
      <c r="I40" s="100"/>
      <c r="J40" s="100"/>
      <c r="K40" s="100"/>
      <c r="L40" s="100"/>
    </row>
    <row r="41" customFormat="false" ht="15" hidden="false" customHeight="true" outlineLevel="0" collapsed="false">
      <c r="A41" s="97" t="s">
        <v>212</v>
      </c>
      <c r="B41" s="97"/>
      <c r="C41" s="97"/>
      <c r="D41" s="101" t="n">
        <f aca="false">D39/D40</f>
        <v>3.49346495680872</v>
      </c>
      <c r="E41" s="92"/>
      <c r="F41" s="92"/>
      <c r="G41" s="92"/>
      <c r="H41" s="92"/>
      <c r="I41" s="92"/>
      <c r="J41" s="92"/>
      <c r="K41" s="92"/>
      <c r="L41" s="92"/>
    </row>
    <row r="42" customFormat="false" ht="15" hidden="false" customHeight="true" outlineLevel="0" collapsed="false">
      <c r="A42" s="32" t="s">
        <v>213</v>
      </c>
      <c r="B42" s="32"/>
      <c r="C42" s="32"/>
      <c r="D42" s="99" t="n">
        <f aca="false">D40*12-D39</f>
        <v>234057.311713408</v>
      </c>
      <c r="E42" s="100"/>
      <c r="F42" s="100"/>
      <c r="G42" s="100"/>
      <c r="H42" s="100"/>
      <c r="I42" s="100"/>
      <c r="J42" s="100"/>
      <c r="K42" s="100"/>
      <c r="L42" s="100"/>
    </row>
    <row r="43" customFormat="false" ht="15" hidden="false" customHeight="true" outlineLevel="0" collapsed="false">
      <c r="A43" s="97" t="s">
        <v>214</v>
      </c>
      <c r="B43" s="97"/>
      <c r="C43" s="97"/>
      <c r="D43" s="99" t="n">
        <f aca="false">D40*36-D39</f>
        <v>894417.311713408</v>
      </c>
      <c r="E43" s="92"/>
      <c r="F43" s="92"/>
      <c r="G43" s="92"/>
      <c r="H43" s="92"/>
      <c r="I43" s="92"/>
      <c r="J43" s="92"/>
      <c r="K43" s="92"/>
      <c r="L43" s="92"/>
    </row>
    <row r="44" customFormat="false" ht="15" hidden="false" customHeight="true" outlineLevel="0" collapsed="false">
      <c r="A44" s="32" t="s">
        <v>215</v>
      </c>
      <c r="B44" s="32"/>
      <c r="C44" s="32"/>
      <c r="D44" s="99" t="s">
        <v>216</v>
      </c>
      <c r="E44" s="100"/>
      <c r="F44" s="100"/>
      <c r="G44" s="100"/>
      <c r="H44" s="100"/>
      <c r="I44" s="100"/>
      <c r="J44" s="100"/>
      <c r="K44" s="100"/>
      <c r="L44" s="100"/>
    </row>
    <row r="45" customFormat="false" ht="15" hidden="false" customHeight="true" outlineLevel="0" collapsed="false">
      <c r="A45" s="97" t="s">
        <v>217</v>
      </c>
      <c r="B45" s="97"/>
      <c r="C45" s="97"/>
      <c r="D45" s="99" t="n">
        <f aca="false">96096-70150</f>
        <v>25946</v>
      </c>
      <c r="E45" s="92"/>
      <c r="F45" s="92"/>
      <c r="G45" s="92"/>
      <c r="H45" s="92"/>
      <c r="I45" s="92"/>
      <c r="J45" s="92"/>
      <c r="K45" s="92"/>
      <c r="L45" s="92"/>
    </row>
  </sheetData>
  <mergeCells count="52">
    <mergeCell ref="A1:L1"/>
    <mergeCell ref="A2:L2"/>
    <mergeCell ref="A4:L4"/>
    <mergeCell ref="A5:N5"/>
    <mergeCell ref="F7:L7"/>
    <mergeCell ref="F8:L8"/>
    <mergeCell ref="F9:L9"/>
    <mergeCell ref="F10:L10"/>
    <mergeCell ref="F11:L11"/>
    <mergeCell ref="B12:D12"/>
    <mergeCell ref="F12:L12"/>
    <mergeCell ref="A14:L14"/>
    <mergeCell ref="A15:N15"/>
    <mergeCell ref="H17:L17"/>
    <mergeCell ref="H18:L18"/>
    <mergeCell ref="B19:F19"/>
    <mergeCell ref="H19:L19"/>
    <mergeCell ref="A21:L21"/>
    <mergeCell ref="A22:N22"/>
    <mergeCell ref="G24:L24"/>
    <mergeCell ref="G25:L25"/>
    <mergeCell ref="G26:L26"/>
    <mergeCell ref="G27:L27"/>
    <mergeCell ref="G28:L28"/>
    <mergeCell ref="B29:C29"/>
    <mergeCell ref="E29:L29"/>
    <mergeCell ref="A31:L31"/>
    <mergeCell ref="A32:C32"/>
    <mergeCell ref="E32:L32"/>
    <mergeCell ref="A33:C33"/>
    <mergeCell ref="E33:L33"/>
    <mergeCell ref="A34:C34"/>
    <mergeCell ref="E34:L34"/>
    <mergeCell ref="A35:C35"/>
    <mergeCell ref="E35:L35"/>
    <mergeCell ref="A36:C36"/>
    <mergeCell ref="E36:L36"/>
    <mergeCell ref="A38:L38"/>
    <mergeCell ref="A39:C39"/>
    <mergeCell ref="E39:L39"/>
    <mergeCell ref="A40:C40"/>
    <mergeCell ref="E40:L40"/>
    <mergeCell ref="A41:C41"/>
    <mergeCell ref="E41:L41"/>
    <mergeCell ref="A42:C42"/>
    <mergeCell ref="E42:L42"/>
    <mergeCell ref="A43:C43"/>
    <mergeCell ref="E43:L43"/>
    <mergeCell ref="A44:C44"/>
    <mergeCell ref="E44:L44"/>
    <mergeCell ref="A45:C45"/>
    <mergeCell ref="E45:L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2" min="2" style="0" width="12"/>
  </cols>
  <sheetData>
    <row r="1" customFormat="false" ht="25.5" hidden="false" customHeight="true" outlineLevel="0" collapsed="false">
      <c r="A1" s="102" t="s">
        <v>218</v>
      </c>
      <c r="B1" s="102"/>
      <c r="C1" s="102"/>
      <c r="D1" s="102"/>
      <c r="E1" s="102"/>
      <c r="F1" s="102"/>
      <c r="G1" s="102"/>
      <c r="H1" s="102"/>
      <c r="I1" s="102"/>
      <c r="J1" s="102"/>
      <c r="K1" s="102"/>
      <c r="L1" s="102"/>
    </row>
    <row r="2" customFormat="false" ht="12.75" hidden="false" customHeight="true" outlineLevel="0" collapsed="false">
      <c r="A2" s="2" t="s">
        <v>219</v>
      </c>
      <c r="B2" s="2"/>
      <c r="C2" s="2"/>
      <c r="D2" s="2"/>
      <c r="E2" s="2"/>
      <c r="F2" s="2"/>
      <c r="G2" s="2"/>
      <c r="H2" s="2"/>
      <c r="I2" s="2"/>
      <c r="J2" s="2"/>
      <c r="K2" s="2"/>
      <c r="L2" s="2"/>
    </row>
    <row r="4" customFormat="false" ht="18" hidden="false" customHeight="true" outlineLevel="0" collapsed="false">
      <c r="A4" s="78" t="s">
        <v>220</v>
      </c>
      <c r="B4" s="78"/>
      <c r="C4" s="78"/>
      <c r="D4" s="78"/>
      <c r="E4" s="78"/>
      <c r="F4" s="78"/>
      <c r="G4" s="78"/>
      <c r="H4" s="78"/>
      <c r="I4" s="78"/>
      <c r="J4" s="78"/>
      <c r="K4" s="78"/>
      <c r="L4" s="78"/>
    </row>
    <row r="5" customFormat="false" ht="37.5" hidden="false" customHeight="true" outlineLevel="0" collapsed="false">
      <c r="A5" s="103" t="s">
        <v>221</v>
      </c>
      <c r="B5" s="104" t="s">
        <v>222</v>
      </c>
      <c r="C5" s="104"/>
      <c r="D5" s="104"/>
      <c r="E5" s="104"/>
      <c r="F5" s="104"/>
      <c r="G5" s="104"/>
      <c r="H5" s="104"/>
      <c r="I5" s="104"/>
      <c r="J5" s="104"/>
      <c r="K5" s="104"/>
      <c r="L5" s="104"/>
    </row>
    <row r="6" customFormat="false" ht="37.5" hidden="false" customHeight="true" outlineLevel="0" collapsed="false">
      <c r="A6" s="103" t="s">
        <v>223</v>
      </c>
      <c r="B6" s="104" t="s">
        <v>224</v>
      </c>
      <c r="C6" s="104"/>
      <c r="D6" s="104"/>
      <c r="E6" s="104"/>
      <c r="F6" s="104"/>
      <c r="G6" s="104"/>
      <c r="H6" s="104"/>
      <c r="I6" s="104"/>
      <c r="J6" s="104"/>
      <c r="K6" s="104"/>
      <c r="L6" s="104"/>
    </row>
    <row r="7" customFormat="false" ht="37.5" hidden="false" customHeight="true" outlineLevel="0" collapsed="false">
      <c r="A7" s="103" t="s">
        <v>225</v>
      </c>
      <c r="B7" s="104" t="s">
        <v>226</v>
      </c>
      <c r="C7" s="104"/>
      <c r="D7" s="104"/>
      <c r="E7" s="104"/>
      <c r="F7" s="104"/>
      <c r="G7" s="104"/>
      <c r="H7" s="104"/>
      <c r="I7" s="104"/>
      <c r="J7" s="104"/>
      <c r="K7" s="104"/>
      <c r="L7" s="104"/>
    </row>
    <row r="8" customFormat="false" ht="37.5" hidden="false" customHeight="true" outlineLevel="0" collapsed="false">
      <c r="A8" s="103" t="s">
        <v>227</v>
      </c>
      <c r="B8" s="104" t="s">
        <v>228</v>
      </c>
      <c r="C8" s="104"/>
      <c r="D8" s="104"/>
      <c r="E8" s="104"/>
      <c r="F8" s="104"/>
      <c r="G8" s="104"/>
      <c r="H8" s="104"/>
      <c r="I8" s="104"/>
      <c r="J8" s="104"/>
      <c r="K8" s="104"/>
      <c r="L8" s="104"/>
    </row>
    <row r="10" customFormat="false" ht="18" hidden="false" customHeight="true" outlineLevel="0" collapsed="false">
      <c r="A10" s="105" t="s">
        <v>229</v>
      </c>
      <c r="B10" s="105"/>
      <c r="C10" s="105"/>
      <c r="D10" s="105"/>
      <c r="E10" s="105"/>
      <c r="F10" s="105"/>
      <c r="G10" s="105"/>
      <c r="H10" s="105"/>
      <c r="I10" s="105"/>
      <c r="J10" s="105"/>
      <c r="K10" s="105"/>
      <c r="L10" s="105"/>
    </row>
    <row r="11" customFormat="false" ht="37.5" hidden="false" customHeight="true" outlineLevel="0" collapsed="false">
      <c r="A11" s="103" t="s">
        <v>230</v>
      </c>
      <c r="B11" s="104" t="s">
        <v>231</v>
      </c>
      <c r="C11" s="104"/>
      <c r="D11" s="104"/>
      <c r="E11" s="104"/>
      <c r="F11" s="104"/>
      <c r="G11" s="104"/>
      <c r="H11" s="104"/>
      <c r="I11" s="104"/>
      <c r="J11" s="104"/>
      <c r="K11" s="104"/>
      <c r="L11" s="104"/>
    </row>
    <row r="12" customFormat="false" ht="37.5" hidden="false" customHeight="true" outlineLevel="0" collapsed="false">
      <c r="A12" s="103" t="s">
        <v>232</v>
      </c>
      <c r="B12" s="104" t="s">
        <v>233</v>
      </c>
      <c r="C12" s="104"/>
      <c r="D12" s="104"/>
      <c r="E12" s="104"/>
      <c r="F12" s="104"/>
      <c r="G12" s="104"/>
      <c r="H12" s="104"/>
      <c r="I12" s="104"/>
      <c r="J12" s="104"/>
      <c r="K12" s="104"/>
      <c r="L12" s="104"/>
    </row>
    <row r="13" customFormat="false" ht="37.5" hidden="false" customHeight="true" outlineLevel="0" collapsed="false">
      <c r="A13" s="103" t="s">
        <v>234</v>
      </c>
      <c r="B13" s="104" t="s">
        <v>235</v>
      </c>
      <c r="C13" s="104"/>
      <c r="D13" s="104"/>
      <c r="E13" s="104"/>
      <c r="F13" s="104"/>
      <c r="G13" s="104"/>
      <c r="H13" s="104"/>
      <c r="I13" s="104"/>
      <c r="J13" s="104"/>
      <c r="K13" s="104"/>
      <c r="L13" s="104"/>
    </row>
    <row r="14" customFormat="false" ht="37.5" hidden="false" customHeight="true" outlineLevel="0" collapsed="false">
      <c r="A14" s="103" t="s">
        <v>236</v>
      </c>
      <c r="B14" s="104" t="s">
        <v>237</v>
      </c>
      <c r="C14" s="104"/>
      <c r="D14" s="104"/>
      <c r="E14" s="104"/>
      <c r="F14" s="104"/>
      <c r="G14" s="104"/>
      <c r="H14" s="104"/>
      <c r="I14" s="104"/>
      <c r="J14" s="104"/>
      <c r="K14" s="104"/>
      <c r="L14" s="104"/>
    </row>
    <row r="16" customFormat="false" ht="18" hidden="false" customHeight="true" outlineLevel="0" collapsed="false">
      <c r="A16" s="44" t="s">
        <v>238</v>
      </c>
      <c r="B16" s="44"/>
      <c r="C16" s="44"/>
      <c r="D16" s="44"/>
      <c r="E16" s="44"/>
      <c r="F16" s="44"/>
      <c r="G16" s="44"/>
      <c r="H16" s="44"/>
      <c r="I16" s="44"/>
      <c r="J16" s="44"/>
      <c r="K16" s="44"/>
      <c r="L16" s="44"/>
    </row>
    <row r="17" customFormat="false" ht="37.5" hidden="false" customHeight="true" outlineLevel="0" collapsed="false">
      <c r="A17" s="103" t="s">
        <v>239</v>
      </c>
      <c r="B17" s="104" t="s">
        <v>240</v>
      </c>
      <c r="C17" s="104"/>
      <c r="D17" s="104"/>
      <c r="E17" s="104"/>
      <c r="F17" s="104"/>
      <c r="G17" s="104"/>
      <c r="H17" s="104"/>
      <c r="I17" s="104"/>
      <c r="J17" s="104"/>
      <c r="K17" s="104"/>
      <c r="L17" s="104"/>
    </row>
    <row r="18" customFormat="false" ht="37.5" hidden="false" customHeight="true" outlineLevel="0" collapsed="false">
      <c r="A18" s="103" t="s">
        <v>241</v>
      </c>
      <c r="B18" s="104" t="s">
        <v>242</v>
      </c>
      <c r="C18" s="104"/>
      <c r="D18" s="104"/>
      <c r="E18" s="104"/>
      <c r="F18" s="104"/>
      <c r="G18" s="104"/>
      <c r="H18" s="104"/>
      <c r="I18" s="104"/>
      <c r="J18" s="104"/>
      <c r="K18" s="104"/>
      <c r="L18" s="104"/>
    </row>
    <row r="19" customFormat="false" ht="37.5" hidden="false" customHeight="true" outlineLevel="0" collapsed="false">
      <c r="A19" s="103" t="s">
        <v>243</v>
      </c>
      <c r="B19" s="104" t="s">
        <v>244</v>
      </c>
      <c r="C19" s="104"/>
      <c r="D19" s="104"/>
      <c r="E19" s="104"/>
      <c r="F19" s="104"/>
      <c r="G19" s="104"/>
      <c r="H19" s="104"/>
      <c r="I19" s="104"/>
      <c r="J19" s="104"/>
      <c r="K19" s="104"/>
      <c r="L19" s="104"/>
    </row>
    <row r="20" customFormat="false" ht="37.5" hidden="false" customHeight="true" outlineLevel="0" collapsed="false">
      <c r="A20" s="103" t="s">
        <v>227</v>
      </c>
      <c r="B20" s="104" t="s">
        <v>245</v>
      </c>
      <c r="C20" s="104"/>
      <c r="D20" s="104"/>
      <c r="E20" s="104"/>
      <c r="F20" s="104"/>
      <c r="G20" s="104"/>
      <c r="H20" s="104"/>
      <c r="I20" s="104"/>
      <c r="J20" s="104"/>
      <c r="K20" s="104"/>
      <c r="L20" s="104"/>
    </row>
    <row r="22" customFormat="false" ht="18" hidden="false" customHeight="true" outlineLevel="0" collapsed="false">
      <c r="A22" s="14" t="s">
        <v>246</v>
      </c>
      <c r="B22" s="14"/>
      <c r="C22" s="14"/>
      <c r="D22" s="14"/>
      <c r="E22" s="14"/>
      <c r="F22" s="14"/>
      <c r="G22" s="14"/>
      <c r="H22" s="14"/>
      <c r="I22" s="14"/>
      <c r="J22" s="14"/>
      <c r="K22" s="14"/>
      <c r="L22" s="14"/>
    </row>
    <row r="23" customFormat="false" ht="37.5" hidden="false" customHeight="true" outlineLevel="0" collapsed="false">
      <c r="A23" s="106" t="s">
        <v>247</v>
      </c>
      <c r="B23" s="104" t="s">
        <v>248</v>
      </c>
      <c r="C23" s="104"/>
      <c r="D23" s="104"/>
      <c r="E23" s="104"/>
      <c r="F23" s="104"/>
      <c r="G23" s="104"/>
      <c r="H23" s="104"/>
      <c r="I23" s="104"/>
      <c r="J23" s="104"/>
      <c r="K23" s="104"/>
      <c r="L23" s="104"/>
    </row>
    <row r="24" customFormat="false" ht="37.5" hidden="false" customHeight="true" outlineLevel="0" collapsed="false">
      <c r="A24" s="106" t="s">
        <v>249</v>
      </c>
      <c r="B24" s="104" t="s">
        <v>250</v>
      </c>
      <c r="C24" s="104"/>
      <c r="D24" s="104"/>
      <c r="E24" s="104"/>
      <c r="F24" s="104"/>
      <c r="G24" s="104"/>
      <c r="H24" s="104"/>
      <c r="I24" s="104"/>
      <c r="J24" s="104"/>
      <c r="K24" s="104"/>
      <c r="L24" s="104"/>
    </row>
    <row r="25" customFormat="false" ht="37.5" hidden="false" customHeight="true" outlineLevel="0" collapsed="false">
      <c r="A25" s="106" t="s">
        <v>251</v>
      </c>
      <c r="B25" s="104" t="s">
        <v>252</v>
      </c>
      <c r="C25" s="104"/>
      <c r="D25" s="104"/>
      <c r="E25" s="104"/>
      <c r="F25" s="104"/>
      <c r="G25" s="104"/>
      <c r="H25" s="104"/>
      <c r="I25" s="104"/>
      <c r="J25" s="104"/>
      <c r="K25" s="104"/>
      <c r="L25" s="104"/>
    </row>
    <row r="26" customFormat="false" ht="37.5" hidden="false" customHeight="true" outlineLevel="0" collapsed="false">
      <c r="A26" s="106" t="s">
        <v>253</v>
      </c>
      <c r="B26" s="104" t="s">
        <v>254</v>
      </c>
      <c r="C26" s="104"/>
      <c r="D26" s="104"/>
      <c r="E26" s="104"/>
      <c r="F26" s="104"/>
      <c r="G26" s="104"/>
      <c r="H26" s="104"/>
      <c r="I26" s="104"/>
      <c r="J26" s="104"/>
      <c r="K26" s="104"/>
      <c r="L26" s="104"/>
    </row>
    <row r="28" customFormat="false" ht="18" hidden="false" customHeight="true" outlineLevel="0" collapsed="false">
      <c r="A28" s="89" t="s">
        <v>255</v>
      </c>
      <c r="B28" s="89"/>
      <c r="C28" s="89"/>
      <c r="D28" s="89"/>
      <c r="E28" s="89"/>
      <c r="F28" s="89"/>
      <c r="G28" s="89"/>
      <c r="H28" s="89"/>
      <c r="I28" s="89"/>
      <c r="J28" s="89"/>
      <c r="K28" s="89"/>
      <c r="L28" s="89"/>
    </row>
    <row r="29" customFormat="false" ht="37.5" hidden="false" customHeight="true" outlineLevel="0" collapsed="false">
      <c r="A29" s="103" t="s">
        <v>70</v>
      </c>
      <c r="B29" s="104" t="s">
        <v>256</v>
      </c>
      <c r="C29" s="104"/>
      <c r="D29" s="104"/>
      <c r="E29" s="104"/>
      <c r="F29" s="104"/>
      <c r="G29" s="104"/>
      <c r="H29" s="104"/>
      <c r="I29" s="104"/>
      <c r="J29" s="104"/>
      <c r="K29" s="104"/>
      <c r="L29" s="104"/>
    </row>
    <row r="30" customFormat="false" ht="37.5" hidden="false" customHeight="true" outlineLevel="0" collapsed="false">
      <c r="A30" s="103" t="s">
        <v>257</v>
      </c>
      <c r="B30" s="104" t="s">
        <v>258</v>
      </c>
      <c r="C30" s="104"/>
      <c r="D30" s="104"/>
      <c r="E30" s="104"/>
      <c r="F30" s="104"/>
      <c r="G30" s="104"/>
      <c r="H30" s="104"/>
      <c r="I30" s="104"/>
      <c r="J30" s="104"/>
      <c r="K30" s="104"/>
      <c r="L30" s="104"/>
    </row>
    <row r="31" customFormat="false" ht="37.5" hidden="false" customHeight="true" outlineLevel="0" collapsed="false">
      <c r="A31" s="103" t="s">
        <v>259</v>
      </c>
      <c r="B31" s="104" t="s">
        <v>260</v>
      </c>
      <c r="C31" s="104"/>
      <c r="D31" s="104"/>
      <c r="E31" s="104"/>
      <c r="F31" s="104"/>
      <c r="G31" s="104"/>
      <c r="H31" s="104"/>
      <c r="I31" s="104"/>
      <c r="J31" s="104"/>
      <c r="K31" s="104"/>
      <c r="L31" s="104"/>
    </row>
    <row r="32" customFormat="false" ht="37.5" hidden="false" customHeight="true" outlineLevel="0" collapsed="false">
      <c r="A32" s="103" t="s">
        <v>261</v>
      </c>
      <c r="B32" s="104" t="s">
        <v>262</v>
      </c>
      <c r="C32" s="104"/>
      <c r="D32" s="104"/>
      <c r="E32" s="104"/>
      <c r="F32" s="104"/>
      <c r="G32" s="104"/>
      <c r="H32" s="104"/>
      <c r="I32" s="104"/>
      <c r="J32" s="104"/>
      <c r="K32" s="104"/>
      <c r="L32" s="104"/>
    </row>
    <row r="34" customFormat="false" ht="18" hidden="false" customHeight="true" outlineLevel="0" collapsed="false">
      <c r="A34" s="14" t="s">
        <v>263</v>
      </c>
      <c r="B34" s="14"/>
      <c r="C34" s="14"/>
      <c r="D34" s="14"/>
      <c r="E34" s="14"/>
      <c r="F34" s="14"/>
      <c r="G34" s="14"/>
      <c r="H34" s="14"/>
      <c r="I34" s="14"/>
      <c r="J34" s="14"/>
      <c r="K34" s="14"/>
      <c r="L34" s="14"/>
    </row>
    <row r="35" customFormat="false" ht="37.5" hidden="false" customHeight="true" outlineLevel="0" collapsed="false">
      <c r="A35" s="106" t="s">
        <v>264</v>
      </c>
      <c r="B35" s="104" t="s">
        <v>265</v>
      </c>
      <c r="C35" s="104"/>
      <c r="D35" s="104"/>
      <c r="E35" s="104"/>
      <c r="F35" s="104"/>
      <c r="G35" s="104"/>
      <c r="H35" s="104"/>
      <c r="I35" s="104"/>
      <c r="J35" s="104"/>
      <c r="K35" s="104"/>
      <c r="L35" s="104"/>
    </row>
    <row r="36" customFormat="false" ht="37.5" hidden="false" customHeight="true" outlineLevel="0" collapsed="false">
      <c r="A36" s="106" t="s">
        <v>266</v>
      </c>
      <c r="B36" s="104" t="s">
        <v>267</v>
      </c>
      <c r="C36" s="104"/>
      <c r="D36" s="104"/>
      <c r="E36" s="104"/>
      <c r="F36" s="104"/>
      <c r="G36" s="104"/>
      <c r="H36" s="104"/>
      <c r="I36" s="104"/>
      <c r="J36" s="104"/>
      <c r="K36" s="104"/>
      <c r="L36" s="104"/>
    </row>
    <row r="37" customFormat="false" ht="37.5" hidden="false" customHeight="true" outlineLevel="0" collapsed="false">
      <c r="A37" s="106" t="s">
        <v>268</v>
      </c>
      <c r="B37" s="104" t="s">
        <v>269</v>
      </c>
      <c r="C37" s="104"/>
      <c r="D37" s="104"/>
      <c r="E37" s="104"/>
      <c r="F37" s="104"/>
      <c r="G37" s="104"/>
      <c r="H37" s="104"/>
      <c r="I37" s="104"/>
      <c r="J37" s="104"/>
      <c r="K37" s="104"/>
      <c r="L37" s="104"/>
    </row>
    <row r="38" customFormat="false" ht="37.5" hidden="false" customHeight="true" outlineLevel="0" collapsed="false">
      <c r="A38" s="106" t="s">
        <v>270</v>
      </c>
      <c r="B38" s="104" t="s">
        <v>271</v>
      </c>
      <c r="C38" s="104"/>
      <c r="D38" s="104"/>
      <c r="E38" s="104"/>
      <c r="F38" s="104"/>
      <c r="G38" s="104"/>
      <c r="H38" s="104"/>
      <c r="I38" s="104"/>
      <c r="J38" s="104"/>
      <c r="K38" s="104"/>
      <c r="L38" s="104"/>
    </row>
    <row r="39" customFormat="false" ht="37.5" hidden="false" customHeight="true" outlineLevel="0" collapsed="false">
      <c r="A39" s="106" t="s">
        <v>272</v>
      </c>
      <c r="B39" s="104" t="s">
        <v>273</v>
      </c>
      <c r="C39" s="104"/>
      <c r="D39" s="104"/>
      <c r="E39" s="104"/>
      <c r="F39" s="104"/>
      <c r="G39" s="104"/>
      <c r="H39" s="104"/>
      <c r="I39" s="104"/>
      <c r="J39" s="104"/>
      <c r="K39" s="104"/>
      <c r="L39" s="104"/>
    </row>
    <row r="40" customFormat="false" ht="37.5" hidden="false" customHeight="true" outlineLevel="0" collapsed="false">
      <c r="A40" s="106" t="s">
        <v>236</v>
      </c>
      <c r="B40" s="104" t="s">
        <v>274</v>
      </c>
      <c r="C40" s="104"/>
      <c r="D40" s="104"/>
      <c r="E40" s="104"/>
      <c r="F40" s="104"/>
      <c r="G40" s="104"/>
      <c r="H40" s="104"/>
      <c r="I40" s="104"/>
      <c r="J40" s="104"/>
      <c r="K40" s="104"/>
      <c r="L40" s="104"/>
    </row>
  </sheetData>
  <mergeCells count="34">
    <mergeCell ref="A1:L1"/>
    <mergeCell ref="A2:L2"/>
    <mergeCell ref="A4:L4"/>
    <mergeCell ref="B5:L5"/>
    <mergeCell ref="B6:L6"/>
    <mergeCell ref="B7:L7"/>
    <mergeCell ref="B8:L8"/>
    <mergeCell ref="A10:L10"/>
    <mergeCell ref="B11:L11"/>
    <mergeCell ref="B12:L12"/>
    <mergeCell ref="B13:L13"/>
    <mergeCell ref="B14:L14"/>
    <mergeCell ref="A16:L16"/>
    <mergeCell ref="B17:L17"/>
    <mergeCell ref="B18:L18"/>
    <mergeCell ref="B19:L19"/>
    <mergeCell ref="B20:L20"/>
    <mergeCell ref="A22:L22"/>
    <mergeCell ref="B23:L23"/>
    <mergeCell ref="B24:L24"/>
    <mergeCell ref="B25:L25"/>
    <mergeCell ref="B26:L26"/>
    <mergeCell ref="A28:L28"/>
    <mergeCell ref="B29:L29"/>
    <mergeCell ref="B30:L30"/>
    <mergeCell ref="B31:L31"/>
    <mergeCell ref="B32:L32"/>
    <mergeCell ref="A34:L34"/>
    <mergeCell ref="B35:L35"/>
    <mergeCell ref="B36:L36"/>
    <mergeCell ref="B37:L37"/>
    <mergeCell ref="B38:L38"/>
    <mergeCell ref="B39:L39"/>
    <mergeCell ref="B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5" min="3" style="0" width="18"/>
    <col collapsed="false" customWidth="true" hidden="false" outlineLevel="0" max="6" min="6" style="0" width="16"/>
    <col collapsed="false" customWidth="true" hidden="false" outlineLevel="0" max="7" min="7" style="0" width="18"/>
    <col collapsed="false" customWidth="true" hidden="false" outlineLevel="0" max="8" min="8" style="0" width="16"/>
    <col collapsed="false" customWidth="true" hidden="false" outlineLevel="0" max="10" min="9" style="0" width="18"/>
    <col collapsed="false" customWidth="true" hidden="false" outlineLevel="0" max="11" min="11" style="0" width="16"/>
    <col collapsed="false" customWidth="true" hidden="false" outlineLevel="0" max="12" min="12" style="0" width="18"/>
  </cols>
  <sheetData>
    <row r="1" customFormat="false" ht="25.5" hidden="false" customHeight="true" outlineLevel="0" collapsed="false">
      <c r="A1" s="1" t="s">
        <v>275</v>
      </c>
      <c r="B1" s="1"/>
      <c r="C1" s="1"/>
      <c r="D1" s="1"/>
      <c r="E1" s="1"/>
      <c r="F1" s="1"/>
      <c r="G1" s="1"/>
      <c r="H1" s="1"/>
      <c r="I1" s="1"/>
      <c r="J1" s="1"/>
      <c r="K1" s="1"/>
      <c r="L1" s="1"/>
    </row>
    <row r="2" customFormat="false" ht="12.75" hidden="false" customHeight="true" outlineLevel="0" collapsed="false">
      <c r="A2" s="2" t="s">
        <v>276</v>
      </c>
      <c r="B2" s="2"/>
      <c r="C2" s="2"/>
      <c r="D2" s="2"/>
      <c r="E2" s="2"/>
      <c r="F2" s="2"/>
      <c r="G2" s="2"/>
      <c r="H2" s="2"/>
      <c r="I2" s="2"/>
      <c r="J2" s="2"/>
      <c r="K2" s="2"/>
      <c r="L2" s="2"/>
    </row>
    <row r="4" customFormat="false" ht="31.5" hidden="false" customHeight="true" outlineLevel="0" collapsed="false">
      <c r="A4" s="60" t="s">
        <v>277</v>
      </c>
      <c r="B4" s="60" t="s">
        <v>278</v>
      </c>
      <c r="C4" s="60" t="s">
        <v>279</v>
      </c>
      <c r="D4" s="60" t="s">
        <v>280</v>
      </c>
      <c r="E4" s="60" t="s">
        <v>281</v>
      </c>
      <c r="F4" s="60" t="s">
        <v>282</v>
      </c>
      <c r="G4" s="60" t="s">
        <v>283</v>
      </c>
      <c r="H4" s="60" t="s">
        <v>284</v>
      </c>
      <c r="I4" s="60" t="s">
        <v>285</v>
      </c>
      <c r="J4" s="60" t="s">
        <v>286</v>
      </c>
      <c r="K4" s="60" t="s">
        <v>287</v>
      </c>
      <c r="L4" s="60" t="s">
        <v>288</v>
      </c>
    </row>
    <row r="5" customFormat="false" ht="15" hidden="false" customHeight="false" outlineLevel="0" collapsed="false">
      <c r="A5" s="107" t="n">
        <v>1</v>
      </c>
      <c r="B5" s="107" t="s">
        <v>289</v>
      </c>
      <c r="C5" s="108" t="n">
        <v>35523.12</v>
      </c>
      <c r="D5" s="108" t="n">
        <f aca="false">SUM($C$5:C5)</f>
        <v>35523.12</v>
      </c>
      <c r="E5" s="108" t="n">
        <v>8008.03</v>
      </c>
      <c r="F5" s="108" t="n">
        <f aca="false">SUM($E$5:E5)</f>
        <v>8008.03</v>
      </c>
      <c r="G5" s="108" t="n">
        <v>8126</v>
      </c>
      <c r="H5" s="108" t="n">
        <f aca="false">SUM($G$5:G5)</f>
        <v>8126</v>
      </c>
      <c r="I5" s="108" t="n">
        <f aca="false">C5-E5</f>
        <v>27515.09</v>
      </c>
      <c r="J5" s="108" t="n">
        <f aca="false">SUM($I$5:I5)</f>
        <v>27515.09</v>
      </c>
      <c r="K5" s="108" t="n">
        <v>96122</v>
      </c>
      <c r="L5" s="108" t="n">
        <f aca="false">J5-SUM($K$5:K5)</f>
        <v>-68606.91</v>
      </c>
    </row>
    <row r="6" customFormat="false" ht="15" hidden="false" customHeight="false" outlineLevel="0" collapsed="false">
      <c r="A6" s="109" t="n">
        <v>2</v>
      </c>
      <c r="B6" s="109" t="s">
        <v>290</v>
      </c>
      <c r="C6" s="110" t="n">
        <v>35523.12</v>
      </c>
      <c r="D6" s="110" t="n">
        <f aca="false">SUM($C$5:C6)</f>
        <v>71046.24</v>
      </c>
      <c r="E6" s="110" t="n">
        <v>8008.03</v>
      </c>
      <c r="F6" s="110" t="n">
        <f aca="false">SUM($E$5:E6)</f>
        <v>16016.06</v>
      </c>
      <c r="G6" s="110" t="n">
        <v>8126</v>
      </c>
      <c r="H6" s="110" t="n">
        <f aca="false">SUM($G$5:G6)</f>
        <v>16252</v>
      </c>
      <c r="I6" s="110" t="n">
        <f aca="false">C6-E6</f>
        <v>27515.09</v>
      </c>
      <c r="J6" s="110" t="n">
        <f aca="false">SUM($I$5:I6)</f>
        <v>55030.18</v>
      </c>
      <c r="K6" s="110" t="n">
        <v>0</v>
      </c>
      <c r="L6" s="110" t="n">
        <f aca="false">J6-SUM($K$5:K6)</f>
        <v>-41091.82</v>
      </c>
    </row>
    <row r="7" customFormat="false" ht="15" hidden="false" customHeight="false" outlineLevel="0" collapsed="false">
      <c r="A7" s="107" t="n">
        <v>3</v>
      </c>
      <c r="B7" s="107" t="s">
        <v>291</v>
      </c>
      <c r="C7" s="108" t="n">
        <v>35523.12</v>
      </c>
      <c r="D7" s="108" t="n">
        <f aca="false">SUM($C$5:C7)</f>
        <v>106569.36</v>
      </c>
      <c r="E7" s="108" t="n">
        <v>8008.03</v>
      </c>
      <c r="F7" s="108" t="n">
        <f aca="false">SUM($E$5:E7)</f>
        <v>24024.09</v>
      </c>
      <c r="G7" s="108" t="n">
        <v>8126</v>
      </c>
      <c r="H7" s="108" t="n">
        <f aca="false">SUM($G$5:G7)</f>
        <v>24378</v>
      </c>
      <c r="I7" s="108" t="n">
        <f aca="false">C7-E7</f>
        <v>27515.09</v>
      </c>
      <c r="J7" s="108" t="n">
        <f aca="false">SUM($I$5:I7)</f>
        <v>82545.27</v>
      </c>
      <c r="K7" s="108" t="n">
        <v>0</v>
      </c>
      <c r="L7" s="108" t="n">
        <f aca="false">J7-SUM($K$5:K7)</f>
        <v>-13576.73</v>
      </c>
    </row>
    <row r="8" customFormat="false" ht="15" hidden="false" customHeight="false" outlineLevel="0" collapsed="false">
      <c r="A8" s="109" t="n">
        <v>4</v>
      </c>
      <c r="B8" s="109" t="s">
        <v>292</v>
      </c>
      <c r="C8" s="110" t="n">
        <v>35523.12</v>
      </c>
      <c r="D8" s="110" t="n">
        <f aca="false">SUM($C$5:C8)</f>
        <v>142092.48</v>
      </c>
      <c r="E8" s="110" t="n">
        <v>8008.03</v>
      </c>
      <c r="F8" s="110" t="n">
        <f aca="false">SUM($E$5:E8)</f>
        <v>32032.12</v>
      </c>
      <c r="G8" s="110" t="n">
        <v>8126</v>
      </c>
      <c r="H8" s="110" t="n">
        <f aca="false">SUM($G$5:G8)</f>
        <v>32504</v>
      </c>
      <c r="I8" s="110" t="n">
        <f aca="false">C8-E8</f>
        <v>27515.09</v>
      </c>
      <c r="J8" s="110" t="n">
        <f aca="false">SUM($I$5:I8)</f>
        <v>110060.36</v>
      </c>
      <c r="K8" s="110" t="n">
        <v>0</v>
      </c>
      <c r="L8" s="110" t="n">
        <f aca="false">J8-SUM($K$5:K8)</f>
        <v>13938.36</v>
      </c>
    </row>
    <row r="9" customFormat="false" ht="15" hidden="false" customHeight="false" outlineLevel="0" collapsed="false">
      <c r="A9" s="107" t="n">
        <v>5</v>
      </c>
      <c r="B9" s="107" t="s">
        <v>293</v>
      </c>
      <c r="C9" s="108" t="n">
        <v>35523.12</v>
      </c>
      <c r="D9" s="108" t="n">
        <f aca="false">SUM($C$5:C9)</f>
        <v>177615.6</v>
      </c>
      <c r="E9" s="108" t="n">
        <v>8008.03</v>
      </c>
      <c r="F9" s="108" t="n">
        <f aca="false">SUM($E$5:E9)</f>
        <v>40040.15</v>
      </c>
      <c r="G9" s="108" t="n">
        <v>8126</v>
      </c>
      <c r="H9" s="108" t="n">
        <f aca="false">SUM($G$5:G9)</f>
        <v>40630</v>
      </c>
      <c r="I9" s="108" t="n">
        <f aca="false">C9-E9</f>
        <v>27515.09</v>
      </c>
      <c r="J9" s="108" t="n">
        <f aca="false">SUM($I$5:I9)</f>
        <v>137575.45</v>
      </c>
      <c r="K9" s="108" t="n">
        <v>0</v>
      </c>
      <c r="L9" s="108" t="n">
        <f aca="false">J9-SUM($K$5:K9)</f>
        <v>41453.45</v>
      </c>
    </row>
    <row r="10" customFormat="false" ht="15" hidden="false" customHeight="false" outlineLevel="0" collapsed="false">
      <c r="A10" s="109" t="n">
        <v>6</v>
      </c>
      <c r="B10" s="109" t="s">
        <v>294</v>
      </c>
      <c r="C10" s="110" t="n">
        <v>35523.12</v>
      </c>
      <c r="D10" s="110" t="n">
        <f aca="false">SUM($C$5:C10)</f>
        <v>213138.72</v>
      </c>
      <c r="E10" s="110" t="n">
        <v>8008.03</v>
      </c>
      <c r="F10" s="110" t="n">
        <f aca="false">SUM($E$5:E10)</f>
        <v>48048.18</v>
      </c>
      <c r="G10" s="110" t="n">
        <v>8126</v>
      </c>
      <c r="H10" s="110" t="n">
        <f aca="false">SUM($G$5:G10)</f>
        <v>48756</v>
      </c>
      <c r="I10" s="110" t="n">
        <f aca="false">C10-E10</f>
        <v>27515.09</v>
      </c>
      <c r="J10" s="110" t="n">
        <f aca="false">SUM($I$5:I10)</f>
        <v>165090.54</v>
      </c>
      <c r="K10" s="110" t="n">
        <v>0</v>
      </c>
      <c r="L10" s="110" t="n">
        <f aca="false">J10-SUM($K$5:K10)</f>
        <v>68968.54</v>
      </c>
    </row>
    <row r="11" customFormat="false" ht="15" hidden="false" customHeight="false" outlineLevel="0" collapsed="false">
      <c r="A11" s="107" t="n">
        <v>7</v>
      </c>
      <c r="B11" s="107" t="s">
        <v>295</v>
      </c>
      <c r="C11" s="108" t="n">
        <v>35523.12</v>
      </c>
      <c r="D11" s="108" t="n">
        <f aca="false">SUM($C$5:C11)</f>
        <v>248661.84</v>
      </c>
      <c r="E11" s="108" t="n">
        <v>8008.03</v>
      </c>
      <c r="F11" s="108" t="n">
        <f aca="false">SUM($E$5:E11)</f>
        <v>56056.21</v>
      </c>
      <c r="G11" s="108" t="n">
        <v>8126</v>
      </c>
      <c r="H11" s="108" t="n">
        <f aca="false">SUM($G$5:G11)</f>
        <v>56882</v>
      </c>
      <c r="I11" s="108" t="n">
        <f aca="false">C11-E11</f>
        <v>27515.09</v>
      </c>
      <c r="J11" s="108" t="n">
        <f aca="false">SUM($I$5:I11)</f>
        <v>192605.63</v>
      </c>
      <c r="K11" s="108" t="n">
        <v>0</v>
      </c>
      <c r="L11" s="108" t="n">
        <f aca="false">J11-SUM($K$5:K11)</f>
        <v>96483.63</v>
      </c>
    </row>
    <row r="12" customFormat="false" ht="15" hidden="false" customHeight="false" outlineLevel="0" collapsed="false">
      <c r="A12" s="109" t="n">
        <v>8</v>
      </c>
      <c r="B12" s="109" t="s">
        <v>296</v>
      </c>
      <c r="C12" s="110" t="n">
        <v>35523.12</v>
      </c>
      <c r="D12" s="110" t="n">
        <f aca="false">SUM($C$5:C12)</f>
        <v>284184.96</v>
      </c>
      <c r="E12" s="110" t="n">
        <v>8008.03</v>
      </c>
      <c r="F12" s="110" t="n">
        <f aca="false">SUM($E$5:E12)</f>
        <v>64064.24</v>
      </c>
      <c r="G12" s="110" t="n">
        <v>8126</v>
      </c>
      <c r="H12" s="110" t="n">
        <f aca="false">SUM($G$5:G12)</f>
        <v>65008</v>
      </c>
      <c r="I12" s="110" t="n">
        <f aca="false">C12-E12</f>
        <v>27515.09</v>
      </c>
      <c r="J12" s="110" t="n">
        <f aca="false">SUM($I$5:I12)</f>
        <v>220120.72</v>
      </c>
      <c r="K12" s="110" t="n">
        <v>0</v>
      </c>
      <c r="L12" s="110" t="n">
        <f aca="false">J12-SUM($K$5:K12)</f>
        <v>123998.72</v>
      </c>
    </row>
    <row r="13" customFormat="false" ht="15" hidden="false" customHeight="false" outlineLevel="0" collapsed="false">
      <c r="A13" s="107" t="n">
        <v>9</v>
      </c>
      <c r="B13" s="107" t="s">
        <v>297</v>
      </c>
      <c r="C13" s="108" t="n">
        <v>35523.12</v>
      </c>
      <c r="D13" s="108" t="n">
        <f aca="false">SUM($C$5:C13)</f>
        <v>319708.08</v>
      </c>
      <c r="E13" s="108" t="n">
        <v>8008.03</v>
      </c>
      <c r="F13" s="108" t="n">
        <f aca="false">SUM($E$5:E13)</f>
        <v>72072.27</v>
      </c>
      <c r="G13" s="108" t="n">
        <v>8126</v>
      </c>
      <c r="H13" s="108" t="n">
        <f aca="false">SUM($G$5:G13)</f>
        <v>73134</v>
      </c>
      <c r="I13" s="108" t="n">
        <f aca="false">C13-E13</f>
        <v>27515.09</v>
      </c>
      <c r="J13" s="108" t="n">
        <f aca="false">SUM($I$5:I13)</f>
        <v>247635.81</v>
      </c>
      <c r="K13" s="108" t="n">
        <v>0</v>
      </c>
      <c r="L13" s="108" t="n">
        <f aca="false">J13-SUM($K$5:K13)</f>
        <v>151513.81</v>
      </c>
    </row>
    <row r="14" customFormat="false" ht="15" hidden="false" customHeight="false" outlineLevel="0" collapsed="false">
      <c r="A14" s="109" t="n">
        <v>10</v>
      </c>
      <c r="B14" s="109" t="s">
        <v>298</v>
      </c>
      <c r="C14" s="110" t="n">
        <v>35523.12</v>
      </c>
      <c r="D14" s="110" t="n">
        <f aca="false">SUM($C$5:C14)</f>
        <v>355231.2</v>
      </c>
      <c r="E14" s="110" t="n">
        <v>8008.03</v>
      </c>
      <c r="F14" s="110" t="n">
        <f aca="false">SUM($E$5:E14)</f>
        <v>80080.3</v>
      </c>
      <c r="G14" s="110" t="n">
        <v>8126</v>
      </c>
      <c r="H14" s="110" t="n">
        <f aca="false">SUM($G$5:G14)</f>
        <v>81260</v>
      </c>
      <c r="I14" s="110" t="n">
        <f aca="false">C14-E14</f>
        <v>27515.09</v>
      </c>
      <c r="J14" s="110" t="n">
        <f aca="false">SUM($I$5:I14)</f>
        <v>275150.9</v>
      </c>
      <c r="K14" s="110" t="n">
        <v>0</v>
      </c>
      <c r="L14" s="110" t="n">
        <f aca="false">J14-SUM($K$5:K14)</f>
        <v>179028.9</v>
      </c>
    </row>
    <row r="15" customFormat="false" ht="15" hidden="false" customHeight="false" outlineLevel="0" collapsed="false">
      <c r="A15" s="107" t="n">
        <v>11</v>
      </c>
      <c r="B15" s="107" t="s">
        <v>299</v>
      </c>
      <c r="C15" s="108" t="n">
        <v>35523.12</v>
      </c>
      <c r="D15" s="108" t="n">
        <f aca="false">SUM($C$5:C15)</f>
        <v>390754.32</v>
      </c>
      <c r="E15" s="108" t="n">
        <v>8008.03</v>
      </c>
      <c r="F15" s="108" t="n">
        <f aca="false">SUM($E$5:E15)</f>
        <v>88088.33</v>
      </c>
      <c r="G15" s="108" t="n">
        <v>8126</v>
      </c>
      <c r="H15" s="108" t="n">
        <f aca="false">SUM($G$5:G15)</f>
        <v>89386</v>
      </c>
      <c r="I15" s="108" t="n">
        <f aca="false">C15-E15</f>
        <v>27515.09</v>
      </c>
      <c r="J15" s="108" t="n">
        <f aca="false">SUM($I$5:I15)</f>
        <v>302665.99</v>
      </c>
      <c r="K15" s="108" t="n">
        <v>0</v>
      </c>
      <c r="L15" s="108" t="n">
        <f aca="false">J15-SUM($K$5:K15)</f>
        <v>206543.99</v>
      </c>
    </row>
    <row r="16" customFormat="false" ht="15" hidden="false" customHeight="false" outlineLevel="0" collapsed="false">
      <c r="A16" s="111" t="n">
        <v>12</v>
      </c>
      <c r="B16" s="111" t="s">
        <v>300</v>
      </c>
      <c r="C16" s="112" t="n">
        <v>35523.12</v>
      </c>
      <c r="D16" s="112" t="n">
        <f aca="false">SUM($C$5:C16)</f>
        <v>426277.44</v>
      </c>
      <c r="E16" s="112" t="n">
        <v>8008.03</v>
      </c>
      <c r="F16" s="112" t="n">
        <f aca="false">SUM($E$5:E16)</f>
        <v>96096.36</v>
      </c>
      <c r="G16" s="112" t="n">
        <v>8126</v>
      </c>
      <c r="H16" s="112" t="n">
        <f aca="false">SUM($G$5:G16)</f>
        <v>97512</v>
      </c>
      <c r="I16" s="112" t="n">
        <f aca="false">C16-E16</f>
        <v>27515.09</v>
      </c>
      <c r="J16" s="112" t="n">
        <f aca="false">SUM($I$5:I16)</f>
        <v>330181.08</v>
      </c>
      <c r="K16" s="112" t="n">
        <v>0</v>
      </c>
      <c r="L16" s="112" t="n">
        <f aca="false">J16-SUM($K$5:K16)</f>
        <v>234059.08</v>
      </c>
    </row>
    <row r="17" customFormat="false" ht="15" hidden="false" customHeight="false" outlineLevel="0" collapsed="false">
      <c r="A17" s="107" t="n">
        <v>13</v>
      </c>
      <c r="B17" s="107" t="s">
        <v>301</v>
      </c>
      <c r="C17" s="108" t="n">
        <v>37299.276</v>
      </c>
      <c r="D17" s="108" t="n">
        <f aca="false">SUM($C$5:C17)</f>
        <v>463576.716</v>
      </c>
      <c r="E17" s="108" t="n">
        <v>8408.4315</v>
      </c>
      <c r="F17" s="108" t="n">
        <f aca="false">SUM($E$5:E17)</f>
        <v>104504.7915</v>
      </c>
      <c r="G17" s="108" t="n">
        <v>8532.3</v>
      </c>
      <c r="H17" s="108" t="n">
        <f aca="false">SUM($G$5:G17)</f>
        <v>106044.3</v>
      </c>
      <c r="I17" s="108" t="n">
        <f aca="false">C17-E17</f>
        <v>28890.8445</v>
      </c>
      <c r="J17" s="108" t="n">
        <f aca="false">SUM($I$5:I17)</f>
        <v>359071.9245</v>
      </c>
      <c r="K17" s="108" t="n">
        <v>0</v>
      </c>
      <c r="L17" s="108" t="n">
        <f aca="false">J17-SUM($K$5:K17)</f>
        <v>262949.9245</v>
      </c>
    </row>
    <row r="18" customFormat="false" ht="15" hidden="false" customHeight="false" outlineLevel="0" collapsed="false">
      <c r="A18" s="109" t="n">
        <v>14</v>
      </c>
      <c r="B18" s="109" t="s">
        <v>302</v>
      </c>
      <c r="C18" s="110" t="n">
        <v>37299.276</v>
      </c>
      <c r="D18" s="110" t="n">
        <f aca="false">SUM($C$5:C18)</f>
        <v>500875.992</v>
      </c>
      <c r="E18" s="110" t="n">
        <v>8408.4315</v>
      </c>
      <c r="F18" s="110" t="n">
        <f aca="false">SUM($E$5:E18)</f>
        <v>112913.223</v>
      </c>
      <c r="G18" s="110" t="n">
        <v>8532.3</v>
      </c>
      <c r="H18" s="110" t="n">
        <f aca="false">SUM($G$5:G18)</f>
        <v>114576.6</v>
      </c>
      <c r="I18" s="110" t="n">
        <f aca="false">C18-E18</f>
        <v>28890.8445</v>
      </c>
      <c r="J18" s="110" t="n">
        <f aca="false">SUM($I$5:I18)</f>
        <v>387962.769</v>
      </c>
      <c r="K18" s="110" t="n">
        <v>0</v>
      </c>
      <c r="L18" s="110" t="n">
        <f aca="false">J18-SUM($K$5:K18)</f>
        <v>291840.769</v>
      </c>
    </row>
    <row r="19" customFormat="false" ht="15" hidden="false" customHeight="false" outlineLevel="0" collapsed="false">
      <c r="A19" s="107" t="n">
        <v>15</v>
      </c>
      <c r="B19" s="107" t="s">
        <v>303</v>
      </c>
      <c r="C19" s="108" t="n">
        <v>37299.276</v>
      </c>
      <c r="D19" s="108" t="n">
        <f aca="false">SUM($C$5:C19)</f>
        <v>538175.268</v>
      </c>
      <c r="E19" s="108" t="n">
        <v>8408.4315</v>
      </c>
      <c r="F19" s="108" t="n">
        <f aca="false">SUM($E$5:E19)</f>
        <v>121321.6545</v>
      </c>
      <c r="G19" s="108" t="n">
        <v>8532.3</v>
      </c>
      <c r="H19" s="108" t="n">
        <f aca="false">SUM($G$5:G19)</f>
        <v>123108.9</v>
      </c>
      <c r="I19" s="108" t="n">
        <f aca="false">C19-E19</f>
        <v>28890.8445</v>
      </c>
      <c r="J19" s="108" t="n">
        <f aca="false">SUM($I$5:I19)</f>
        <v>416853.6135</v>
      </c>
      <c r="K19" s="108" t="n">
        <v>0</v>
      </c>
      <c r="L19" s="108" t="n">
        <f aca="false">J19-SUM($K$5:K19)</f>
        <v>320731.6135</v>
      </c>
    </row>
    <row r="20" customFormat="false" ht="15" hidden="false" customHeight="false" outlineLevel="0" collapsed="false">
      <c r="A20" s="109" t="n">
        <v>16</v>
      </c>
      <c r="B20" s="109" t="s">
        <v>304</v>
      </c>
      <c r="C20" s="110" t="n">
        <v>37299.276</v>
      </c>
      <c r="D20" s="110" t="n">
        <f aca="false">SUM($C$5:C20)</f>
        <v>575474.544</v>
      </c>
      <c r="E20" s="110" t="n">
        <v>8408.4315</v>
      </c>
      <c r="F20" s="110" t="n">
        <f aca="false">SUM($E$5:E20)</f>
        <v>129730.086</v>
      </c>
      <c r="G20" s="110" t="n">
        <v>8532.3</v>
      </c>
      <c r="H20" s="110" t="n">
        <f aca="false">SUM($G$5:G20)</f>
        <v>131641.2</v>
      </c>
      <c r="I20" s="110" t="n">
        <f aca="false">C20-E20</f>
        <v>28890.8445</v>
      </c>
      <c r="J20" s="110" t="n">
        <f aca="false">SUM($I$5:I20)</f>
        <v>445744.458</v>
      </c>
      <c r="K20" s="110" t="n">
        <v>0</v>
      </c>
      <c r="L20" s="110" t="n">
        <f aca="false">J20-SUM($K$5:K20)</f>
        <v>349622.458</v>
      </c>
    </row>
    <row r="21" customFormat="false" ht="15" hidden="false" customHeight="false" outlineLevel="0" collapsed="false">
      <c r="A21" s="107" t="n">
        <v>17</v>
      </c>
      <c r="B21" s="107" t="s">
        <v>305</v>
      </c>
      <c r="C21" s="108" t="n">
        <v>37299.276</v>
      </c>
      <c r="D21" s="108" t="n">
        <f aca="false">SUM($C$5:C21)</f>
        <v>612773.82</v>
      </c>
      <c r="E21" s="108" t="n">
        <v>8408.4315</v>
      </c>
      <c r="F21" s="108" t="n">
        <f aca="false">SUM($E$5:E21)</f>
        <v>138138.5175</v>
      </c>
      <c r="G21" s="108" t="n">
        <v>8532.3</v>
      </c>
      <c r="H21" s="108" t="n">
        <f aca="false">SUM($G$5:G21)</f>
        <v>140173.5</v>
      </c>
      <c r="I21" s="108" t="n">
        <f aca="false">C21-E21</f>
        <v>28890.8445</v>
      </c>
      <c r="J21" s="108" t="n">
        <f aca="false">SUM($I$5:I21)</f>
        <v>474635.3025</v>
      </c>
      <c r="K21" s="108" t="n">
        <v>0</v>
      </c>
      <c r="L21" s="108" t="n">
        <f aca="false">J21-SUM($K$5:K21)</f>
        <v>378513.3025</v>
      </c>
    </row>
    <row r="22" customFormat="false" ht="15" hidden="false" customHeight="false" outlineLevel="0" collapsed="false">
      <c r="A22" s="109" t="n">
        <v>18</v>
      </c>
      <c r="B22" s="109" t="s">
        <v>306</v>
      </c>
      <c r="C22" s="110" t="n">
        <v>37299.276</v>
      </c>
      <c r="D22" s="110" t="n">
        <f aca="false">SUM($C$5:C22)</f>
        <v>650073.096</v>
      </c>
      <c r="E22" s="110" t="n">
        <v>8408.4315</v>
      </c>
      <c r="F22" s="110" t="n">
        <f aca="false">SUM($E$5:E22)</f>
        <v>146546.949</v>
      </c>
      <c r="G22" s="110" t="n">
        <v>8532.3</v>
      </c>
      <c r="H22" s="110" t="n">
        <f aca="false">SUM($G$5:G22)</f>
        <v>148705.8</v>
      </c>
      <c r="I22" s="110" t="n">
        <f aca="false">C22-E22</f>
        <v>28890.8445</v>
      </c>
      <c r="J22" s="110" t="n">
        <f aca="false">SUM($I$5:I22)</f>
        <v>503526.147</v>
      </c>
      <c r="K22" s="110" t="n">
        <v>0</v>
      </c>
      <c r="L22" s="110" t="n">
        <f aca="false">J22-SUM($K$5:K22)</f>
        <v>407404.147</v>
      </c>
    </row>
    <row r="23" customFormat="false" ht="15" hidden="false" customHeight="false" outlineLevel="0" collapsed="false">
      <c r="A23" s="107" t="n">
        <v>19</v>
      </c>
      <c r="B23" s="107" t="s">
        <v>307</v>
      </c>
      <c r="C23" s="108" t="n">
        <v>37299.276</v>
      </c>
      <c r="D23" s="108" t="n">
        <f aca="false">SUM($C$5:C23)</f>
        <v>687372.372</v>
      </c>
      <c r="E23" s="108" t="n">
        <v>8408.4315</v>
      </c>
      <c r="F23" s="108" t="n">
        <f aca="false">SUM($E$5:E23)</f>
        <v>154955.3805</v>
      </c>
      <c r="G23" s="108" t="n">
        <v>8532.3</v>
      </c>
      <c r="H23" s="108" t="n">
        <f aca="false">SUM($G$5:G23)</f>
        <v>157238.1</v>
      </c>
      <c r="I23" s="108" t="n">
        <f aca="false">C23-E23</f>
        <v>28890.8445</v>
      </c>
      <c r="J23" s="108" t="n">
        <f aca="false">SUM($I$5:I23)</f>
        <v>532416.9915</v>
      </c>
      <c r="K23" s="108" t="n">
        <v>0</v>
      </c>
      <c r="L23" s="108" t="n">
        <f aca="false">J23-SUM($K$5:K23)</f>
        <v>436294.9915</v>
      </c>
    </row>
    <row r="24" customFormat="false" ht="15" hidden="false" customHeight="false" outlineLevel="0" collapsed="false">
      <c r="A24" s="109" t="n">
        <v>20</v>
      </c>
      <c r="B24" s="109" t="s">
        <v>308</v>
      </c>
      <c r="C24" s="110" t="n">
        <v>37299.276</v>
      </c>
      <c r="D24" s="110" t="n">
        <f aca="false">SUM($C$5:C24)</f>
        <v>724671.648</v>
      </c>
      <c r="E24" s="110" t="n">
        <v>8408.4315</v>
      </c>
      <c r="F24" s="110" t="n">
        <f aca="false">SUM($E$5:E24)</f>
        <v>163363.812</v>
      </c>
      <c r="G24" s="110" t="n">
        <v>8532.3</v>
      </c>
      <c r="H24" s="110" t="n">
        <f aca="false">SUM($G$5:G24)</f>
        <v>165770.4</v>
      </c>
      <c r="I24" s="110" t="n">
        <f aca="false">C24-E24</f>
        <v>28890.8445</v>
      </c>
      <c r="J24" s="110" t="n">
        <f aca="false">SUM($I$5:I24)</f>
        <v>561307.836</v>
      </c>
      <c r="K24" s="110" t="n">
        <v>0</v>
      </c>
      <c r="L24" s="110" t="n">
        <f aca="false">J24-SUM($K$5:K24)</f>
        <v>465185.836</v>
      </c>
    </row>
    <row r="25" customFormat="false" ht="15" hidden="false" customHeight="false" outlineLevel="0" collapsed="false">
      <c r="A25" s="107" t="n">
        <v>21</v>
      </c>
      <c r="B25" s="107" t="s">
        <v>309</v>
      </c>
      <c r="C25" s="108" t="n">
        <v>37299.276</v>
      </c>
      <c r="D25" s="108" t="n">
        <f aca="false">SUM($C$5:C25)</f>
        <v>761970.924</v>
      </c>
      <c r="E25" s="108" t="n">
        <v>8408.4315</v>
      </c>
      <c r="F25" s="108" t="n">
        <f aca="false">SUM($E$5:E25)</f>
        <v>171772.2435</v>
      </c>
      <c r="G25" s="108" t="n">
        <v>8532.3</v>
      </c>
      <c r="H25" s="108" t="n">
        <f aca="false">SUM($G$5:G25)</f>
        <v>174302.7</v>
      </c>
      <c r="I25" s="108" t="n">
        <f aca="false">C25-E25</f>
        <v>28890.8445</v>
      </c>
      <c r="J25" s="108" t="n">
        <f aca="false">SUM($I$5:I25)</f>
        <v>590198.6805</v>
      </c>
      <c r="K25" s="108" t="n">
        <v>0</v>
      </c>
      <c r="L25" s="108" t="n">
        <f aca="false">J25-SUM($K$5:K25)</f>
        <v>494076.6805</v>
      </c>
    </row>
    <row r="26" customFormat="false" ht="15" hidden="false" customHeight="false" outlineLevel="0" collapsed="false">
      <c r="A26" s="109" t="n">
        <v>22</v>
      </c>
      <c r="B26" s="109" t="s">
        <v>310</v>
      </c>
      <c r="C26" s="110" t="n">
        <v>37299.276</v>
      </c>
      <c r="D26" s="110" t="n">
        <f aca="false">SUM($C$5:C26)</f>
        <v>799270.2</v>
      </c>
      <c r="E26" s="110" t="n">
        <v>8408.4315</v>
      </c>
      <c r="F26" s="110" t="n">
        <f aca="false">SUM($E$5:E26)</f>
        <v>180180.675</v>
      </c>
      <c r="G26" s="110" t="n">
        <v>8532.3</v>
      </c>
      <c r="H26" s="110" t="n">
        <f aca="false">SUM($G$5:G26)</f>
        <v>182835</v>
      </c>
      <c r="I26" s="110" t="n">
        <f aca="false">C26-E26</f>
        <v>28890.8445</v>
      </c>
      <c r="J26" s="110" t="n">
        <f aca="false">SUM($I$5:I26)</f>
        <v>619089.525</v>
      </c>
      <c r="K26" s="110" t="n">
        <v>0</v>
      </c>
      <c r="L26" s="110" t="n">
        <f aca="false">J26-SUM($K$5:K26)</f>
        <v>522967.525</v>
      </c>
    </row>
    <row r="27" customFormat="false" ht="15" hidden="false" customHeight="false" outlineLevel="0" collapsed="false">
      <c r="A27" s="107" t="n">
        <v>23</v>
      </c>
      <c r="B27" s="107" t="s">
        <v>311</v>
      </c>
      <c r="C27" s="108" t="n">
        <v>37299.276</v>
      </c>
      <c r="D27" s="108" t="n">
        <f aca="false">SUM($C$5:C27)</f>
        <v>836569.476</v>
      </c>
      <c r="E27" s="108" t="n">
        <v>8408.4315</v>
      </c>
      <c r="F27" s="108" t="n">
        <f aca="false">SUM($E$5:E27)</f>
        <v>188589.1065</v>
      </c>
      <c r="G27" s="108" t="n">
        <v>8532.3</v>
      </c>
      <c r="H27" s="108" t="n">
        <f aca="false">SUM($G$5:G27)</f>
        <v>191367.3</v>
      </c>
      <c r="I27" s="108" t="n">
        <f aca="false">C27-E27</f>
        <v>28890.8445</v>
      </c>
      <c r="J27" s="108" t="n">
        <f aca="false">SUM($I$5:I27)</f>
        <v>647980.3695</v>
      </c>
      <c r="K27" s="108" t="n">
        <v>0</v>
      </c>
      <c r="L27" s="108" t="n">
        <f aca="false">J27-SUM($K$5:K27)</f>
        <v>551858.3695</v>
      </c>
    </row>
    <row r="28" customFormat="false" ht="15" hidden="false" customHeight="false" outlineLevel="0" collapsed="false">
      <c r="A28" s="111" t="n">
        <v>24</v>
      </c>
      <c r="B28" s="111" t="s">
        <v>312</v>
      </c>
      <c r="C28" s="112" t="n">
        <v>37299.276</v>
      </c>
      <c r="D28" s="112" t="n">
        <f aca="false">SUM($C$5:C28)</f>
        <v>873868.752</v>
      </c>
      <c r="E28" s="112" t="n">
        <v>8408.4315</v>
      </c>
      <c r="F28" s="112" t="n">
        <f aca="false">SUM($E$5:E28)</f>
        <v>196997.538</v>
      </c>
      <c r="G28" s="112" t="n">
        <v>8532.3</v>
      </c>
      <c r="H28" s="112" t="n">
        <f aca="false">SUM($G$5:G28)</f>
        <v>199899.6</v>
      </c>
      <c r="I28" s="112" t="n">
        <f aca="false">C28-E28</f>
        <v>28890.8445</v>
      </c>
      <c r="J28" s="112" t="n">
        <f aca="false">SUM($I$5:I28)</f>
        <v>676871.214</v>
      </c>
      <c r="K28" s="112" t="n">
        <v>0</v>
      </c>
      <c r="L28" s="112" t="n">
        <f aca="false">J28-SUM($K$5:K28)</f>
        <v>580749.214</v>
      </c>
    </row>
    <row r="29" customFormat="false" ht="15" hidden="false" customHeight="false" outlineLevel="0" collapsed="false">
      <c r="A29" s="107" t="n">
        <v>25</v>
      </c>
      <c r="B29" s="107" t="s">
        <v>313</v>
      </c>
      <c r="C29" s="108" t="n">
        <v>39164.2398</v>
      </c>
      <c r="D29" s="108" t="n">
        <f aca="false">SUM($C$5:C29)</f>
        <v>913032.9918</v>
      </c>
      <c r="E29" s="108" t="n">
        <v>8828.853075</v>
      </c>
      <c r="F29" s="108" t="n">
        <f aca="false">SUM($E$5:E29)</f>
        <v>205826.391075</v>
      </c>
      <c r="G29" s="108" t="n">
        <v>8958.915</v>
      </c>
      <c r="H29" s="108" t="n">
        <f aca="false">SUM($G$5:G29)</f>
        <v>208858.515</v>
      </c>
      <c r="I29" s="108" t="n">
        <f aca="false">C29-E29</f>
        <v>30335.386725</v>
      </c>
      <c r="J29" s="108" t="n">
        <f aca="false">SUM($I$5:I29)</f>
        <v>707206.600725</v>
      </c>
      <c r="K29" s="108" t="n">
        <v>0</v>
      </c>
      <c r="L29" s="108" t="n">
        <f aca="false">J29-SUM($K$5:K29)</f>
        <v>611084.600725</v>
      </c>
    </row>
    <row r="30" customFormat="false" ht="15" hidden="false" customHeight="false" outlineLevel="0" collapsed="false">
      <c r="A30" s="109" t="n">
        <v>26</v>
      </c>
      <c r="B30" s="109" t="s">
        <v>314</v>
      </c>
      <c r="C30" s="110" t="n">
        <v>39164.2398</v>
      </c>
      <c r="D30" s="110" t="n">
        <f aca="false">SUM($C$5:C30)</f>
        <v>952197.2316</v>
      </c>
      <c r="E30" s="110" t="n">
        <v>8828.853075</v>
      </c>
      <c r="F30" s="110" t="n">
        <f aca="false">SUM($E$5:E30)</f>
        <v>214655.24415</v>
      </c>
      <c r="G30" s="110" t="n">
        <v>8958.915</v>
      </c>
      <c r="H30" s="110" t="n">
        <f aca="false">SUM($G$5:G30)</f>
        <v>217817.43</v>
      </c>
      <c r="I30" s="110" t="n">
        <f aca="false">C30-E30</f>
        <v>30335.386725</v>
      </c>
      <c r="J30" s="110" t="n">
        <f aca="false">SUM($I$5:I30)</f>
        <v>737541.98745</v>
      </c>
      <c r="K30" s="110" t="n">
        <v>0</v>
      </c>
      <c r="L30" s="110" t="n">
        <f aca="false">J30-SUM($K$5:K30)</f>
        <v>641419.98745</v>
      </c>
    </row>
    <row r="31" customFormat="false" ht="15" hidden="false" customHeight="false" outlineLevel="0" collapsed="false">
      <c r="A31" s="107" t="n">
        <v>27</v>
      </c>
      <c r="B31" s="107" t="s">
        <v>315</v>
      </c>
      <c r="C31" s="108" t="n">
        <v>39164.2398</v>
      </c>
      <c r="D31" s="108" t="n">
        <f aca="false">SUM($C$5:C31)</f>
        <v>991361.4714</v>
      </c>
      <c r="E31" s="108" t="n">
        <v>8828.853075</v>
      </c>
      <c r="F31" s="108" t="n">
        <f aca="false">SUM($E$5:E31)</f>
        <v>223484.097225</v>
      </c>
      <c r="G31" s="108" t="n">
        <v>8958.915</v>
      </c>
      <c r="H31" s="108" t="n">
        <f aca="false">SUM($G$5:G31)</f>
        <v>226776.345</v>
      </c>
      <c r="I31" s="108" t="n">
        <f aca="false">C31-E31</f>
        <v>30335.386725</v>
      </c>
      <c r="J31" s="108" t="n">
        <f aca="false">SUM($I$5:I31)</f>
        <v>767877.374175</v>
      </c>
      <c r="K31" s="108" t="n">
        <v>0</v>
      </c>
      <c r="L31" s="108" t="n">
        <f aca="false">J31-SUM($K$5:K31)</f>
        <v>671755.374175</v>
      </c>
    </row>
    <row r="32" customFormat="false" ht="15" hidden="false" customHeight="false" outlineLevel="0" collapsed="false">
      <c r="A32" s="109" t="n">
        <v>28</v>
      </c>
      <c r="B32" s="109" t="s">
        <v>316</v>
      </c>
      <c r="C32" s="110" t="n">
        <v>39164.2398</v>
      </c>
      <c r="D32" s="110" t="n">
        <f aca="false">SUM($C$5:C32)</f>
        <v>1030525.7112</v>
      </c>
      <c r="E32" s="110" t="n">
        <v>8828.853075</v>
      </c>
      <c r="F32" s="110" t="n">
        <f aca="false">SUM($E$5:E32)</f>
        <v>232312.9503</v>
      </c>
      <c r="G32" s="110" t="n">
        <v>8958.915</v>
      </c>
      <c r="H32" s="110" t="n">
        <f aca="false">SUM($G$5:G32)</f>
        <v>235735.26</v>
      </c>
      <c r="I32" s="110" t="n">
        <f aca="false">C32-E32</f>
        <v>30335.386725</v>
      </c>
      <c r="J32" s="110" t="n">
        <f aca="false">SUM($I$5:I32)</f>
        <v>798212.7609</v>
      </c>
      <c r="K32" s="110" t="n">
        <v>0</v>
      </c>
      <c r="L32" s="110" t="n">
        <f aca="false">J32-SUM($K$5:K32)</f>
        <v>702090.7609</v>
      </c>
    </row>
    <row r="33" customFormat="false" ht="15" hidden="false" customHeight="false" outlineLevel="0" collapsed="false">
      <c r="A33" s="107" t="n">
        <v>29</v>
      </c>
      <c r="B33" s="107" t="s">
        <v>317</v>
      </c>
      <c r="C33" s="108" t="n">
        <v>39164.2398</v>
      </c>
      <c r="D33" s="108" t="n">
        <f aca="false">SUM($C$5:C33)</f>
        <v>1069689.951</v>
      </c>
      <c r="E33" s="108" t="n">
        <v>8828.853075</v>
      </c>
      <c r="F33" s="108" t="n">
        <f aca="false">SUM($E$5:E33)</f>
        <v>241141.803375</v>
      </c>
      <c r="G33" s="108" t="n">
        <v>8958.915</v>
      </c>
      <c r="H33" s="108" t="n">
        <f aca="false">SUM($G$5:G33)</f>
        <v>244694.175</v>
      </c>
      <c r="I33" s="108" t="n">
        <f aca="false">C33-E33</f>
        <v>30335.386725</v>
      </c>
      <c r="J33" s="108" t="n">
        <f aca="false">SUM($I$5:I33)</f>
        <v>828548.147625</v>
      </c>
      <c r="K33" s="108" t="n">
        <v>0</v>
      </c>
      <c r="L33" s="108" t="n">
        <f aca="false">J33-SUM($K$5:K33)</f>
        <v>732426.147625</v>
      </c>
    </row>
    <row r="34" customFormat="false" ht="15" hidden="false" customHeight="false" outlineLevel="0" collapsed="false">
      <c r="A34" s="109" t="n">
        <v>30</v>
      </c>
      <c r="B34" s="109" t="s">
        <v>318</v>
      </c>
      <c r="C34" s="110" t="n">
        <v>39164.2398</v>
      </c>
      <c r="D34" s="110" t="n">
        <f aca="false">SUM($C$5:C34)</f>
        <v>1108854.1908</v>
      </c>
      <c r="E34" s="110" t="n">
        <v>8828.853075</v>
      </c>
      <c r="F34" s="110" t="n">
        <f aca="false">SUM($E$5:E34)</f>
        <v>249970.65645</v>
      </c>
      <c r="G34" s="110" t="n">
        <v>8958.915</v>
      </c>
      <c r="H34" s="110" t="n">
        <f aca="false">SUM($G$5:G34)</f>
        <v>253653.09</v>
      </c>
      <c r="I34" s="110" t="n">
        <f aca="false">C34-E34</f>
        <v>30335.386725</v>
      </c>
      <c r="J34" s="110" t="n">
        <f aca="false">SUM($I$5:I34)</f>
        <v>858883.53435</v>
      </c>
      <c r="K34" s="110" t="n">
        <v>0</v>
      </c>
      <c r="L34" s="110" t="n">
        <f aca="false">J34-SUM($K$5:K34)</f>
        <v>762761.53435</v>
      </c>
    </row>
    <row r="35" customFormat="false" ht="15" hidden="false" customHeight="false" outlineLevel="0" collapsed="false">
      <c r="A35" s="107" t="n">
        <v>31</v>
      </c>
      <c r="B35" s="107" t="s">
        <v>319</v>
      </c>
      <c r="C35" s="108" t="n">
        <v>39164.2398</v>
      </c>
      <c r="D35" s="108" t="n">
        <f aca="false">SUM($C$5:C35)</f>
        <v>1148018.4306</v>
      </c>
      <c r="E35" s="108" t="n">
        <v>8828.853075</v>
      </c>
      <c r="F35" s="108" t="n">
        <f aca="false">SUM($E$5:E35)</f>
        <v>258799.509525</v>
      </c>
      <c r="G35" s="108" t="n">
        <v>8958.915</v>
      </c>
      <c r="H35" s="108" t="n">
        <f aca="false">SUM($G$5:G35)</f>
        <v>262612.005</v>
      </c>
      <c r="I35" s="108" t="n">
        <f aca="false">C35-E35</f>
        <v>30335.386725</v>
      </c>
      <c r="J35" s="108" t="n">
        <f aca="false">SUM($I$5:I35)</f>
        <v>889218.921075</v>
      </c>
      <c r="K35" s="108" t="n">
        <v>0</v>
      </c>
      <c r="L35" s="108" t="n">
        <f aca="false">J35-SUM($K$5:K35)</f>
        <v>793096.921075</v>
      </c>
    </row>
    <row r="36" customFormat="false" ht="15" hidden="false" customHeight="false" outlineLevel="0" collapsed="false">
      <c r="A36" s="109" t="n">
        <v>32</v>
      </c>
      <c r="B36" s="109" t="s">
        <v>320</v>
      </c>
      <c r="C36" s="110" t="n">
        <v>39164.2398</v>
      </c>
      <c r="D36" s="110" t="n">
        <f aca="false">SUM($C$5:C36)</f>
        <v>1187182.6704</v>
      </c>
      <c r="E36" s="110" t="n">
        <v>8828.853075</v>
      </c>
      <c r="F36" s="110" t="n">
        <f aca="false">SUM($E$5:E36)</f>
        <v>267628.3626</v>
      </c>
      <c r="G36" s="110" t="n">
        <v>8958.915</v>
      </c>
      <c r="H36" s="110" t="n">
        <f aca="false">SUM($G$5:G36)</f>
        <v>271570.92</v>
      </c>
      <c r="I36" s="110" t="n">
        <f aca="false">C36-E36</f>
        <v>30335.386725</v>
      </c>
      <c r="J36" s="110" t="n">
        <f aca="false">SUM($I$5:I36)</f>
        <v>919554.3078</v>
      </c>
      <c r="K36" s="110" t="n">
        <v>0</v>
      </c>
      <c r="L36" s="110" t="n">
        <f aca="false">J36-SUM($K$5:K36)</f>
        <v>823432.3078</v>
      </c>
    </row>
    <row r="37" customFormat="false" ht="15" hidden="false" customHeight="false" outlineLevel="0" collapsed="false">
      <c r="A37" s="107" t="n">
        <v>33</v>
      </c>
      <c r="B37" s="107" t="s">
        <v>321</v>
      </c>
      <c r="C37" s="108" t="n">
        <v>39164.2398</v>
      </c>
      <c r="D37" s="108" t="n">
        <f aca="false">SUM($C$5:C37)</f>
        <v>1226346.9102</v>
      </c>
      <c r="E37" s="108" t="n">
        <v>8828.853075</v>
      </c>
      <c r="F37" s="108" t="n">
        <f aca="false">SUM($E$5:E37)</f>
        <v>276457.215675</v>
      </c>
      <c r="G37" s="108" t="n">
        <v>8958.915</v>
      </c>
      <c r="H37" s="108" t="n">
        <f aca="false">SUM($G$5:G37)</f>
        <v>280529.835</v>
      </c>
      <c r="I37" s="108" t="n">
        <f aca="false">C37-E37</f>
        <v>30335.386725</v>
      </c>
      <c r="J37" s="108" t="n">
        <f aca="false">SUM($I$5:I37)</f>
        <v>949889.694525</v>
      </c>
      <c r="K37" s="108" t="n">
        <v>0</v>
      </c>
      <c r="L37" s="108" t="n">
        <f aca="false">J37-SUM($K$5:K37)</f>
        <v>853767.694525</v>
      </c>
    </row>
    <row r="38" customFormat="false" ht="15" hidden="false" customHeight="false" outlineLevel="0" collapsed="false">
      <c r="A38" s="109" t="n">
        <v>34</v>
      </c>
      <c r="B38" s="109" t="s">
        <v>322</v>
      </c>
      <c r="C38" s="110" t="n">
        <v>39164.2398</v>
      </c>
      <c r="D38" s="110" t="n">
        <f aca="false">SUM($C$5:C38)</f>
        <v>1265511.15</v>
      </c>
      <c r="E38" s="110" t="n">
        <v>8828.853075</v>
      </c>
      <c r="F38" s="110" t="n">
        <f aca="false">SUM($E$5:E38)</f>
        <v>285286.06875</v>
      </c>
      <c r="G38" s="110" t="n">
        <v>8958.915</v>
      </c>
      <c r="H38" s="110" t="n">
        <f aca="false">SUM($G$5:G38)</f>
        <v>289488.75</v>
      </c>
      <c r="I38" s="110" t="n">
        <f aca="false">C38-E38</f>
        <v>30335.386725</v>
      </c>
      <c r="J38" s="110" t="n">
        <f aca="false">SUM($I$5:I38)</f>
        <v>980225.08125</v>
      </c>
      <c r="K38" s="110" t="n">
        <v>0</v>
      </c>
      <c r="L38" s="110" t="n">
        <f aca="false">J38-SUM($K$5:K38)</f>
        <v>884103.08125</v>
      </c>
    </row>
    <row r="39" customFormat="false" ht="15" hidden="false" customHeight="false" outlineLevel="0" collapsed="false">
      <c r="A39" s="107" t="n">
        <v>35</v>
      </c>
      <c r="B39" s="107" t="s">
        <v>323</v>
      </c>
      <c r="C39" s="108" t="n">
        <v>39164.2398</v>
      </c>
      <c r="D39" s="108" t="n">
        <f aca="false">SUM($C$5:C39)</f>
        <v>1304675.3898</v>
      </c>
      <c r="E39" s="108" t="n">
        <v>8828.853075</v>
      </c>
      <c r="F39" s="108" t="n">
        <f aca="false">SUM($E$5:E39)</f>
        <v>294114.921825</v>
      </c>
      <c r="G39" s="108" t="n">
        <v>8958.915</v>
      </c>
      <c r="H39" s="108" t="n">
        <f aca="false">SUM($G$5:G39)</f>
        <v>298447.665</v>
      </c>
      <c r="I39" s="108" t="n">
        <f aca="false">C39-E39</f>
        <v>30335.386725</v>
      </c>
      <c r="J39" s="108" t="n">
        <f aca="false">SUM($I$5:I39)</f>
        <v>1010560.467975</v>
      </c>
      <c r="K39" s="108" t="n">
        <v>0</v>
      </c>
      <c r="L39" s="108" t="n">
        <f aca="false">J39-SUM($K$5:K39)</f>
        <v>914438.467975</v>
      </c>
    </row>
    <row r="40" customFormat="false" ht="15" hidden="false" customHeight="false" outlineLevel="0" collapsed="false">
      <c r="A40" s="111" t="n">
        <v>36</v>
      </c>
      <c r="B40" s="111" t="s">
        <v>324</v>
      </c>
      <c r="C40" s="112" t="n">
        <v>39164.2398</v>
      </c>
      <c r="D40" s="112" t="n">
        <f aca="false">SUM($C$5:C40)</f>
        <v>1343839.6296</v>
      </c>
      <c r="E40" s="112" t="n">
        <v>8828.853075</v>
      </c>
      <c r="F40" s="112" t="n">
        <f aca="false">SUM($E$5:E40)</f>
        <v>302943.7749</v>
      </c>
      <c r="G40" s="112" t="n">
        <v>8958.915</v>
      </c>
      <c r="H40" s="112" t="n">
        <f aca="false">SUM($G$5:G40)</f>
        <v>307406.58</v>
      </c>
      <c r="I40" s="112" t="n">
        <f aca="false">C40-E40</f>
        <v>30335.386725</v>
      </c>
      <c r="J40" s="112" t="n">
        <f aca="false">SUM($I$5:I40)</f>
        <v>1040895.8547</v>
      </c>
      <c r="K40" s="112" t="n">
        <v>0</v>
      </c>
      <c r="L40" s="112" t="n">
        <f aca="false">J40-SUM($K$5:K40)</f>
        <v>944773.8547</v>
      </c>
    </row>
    <row r="42" customFormat="false" ht="18" hidden="false" customHeight="true" outlineLevel="0" collapsed="false">
      <c r="A42" s="14" t="s">
        <v>325</v>
      </c>
      <c r="B42" s="14"/>
      <c r="C42" s="14"/>
      <c r="D42" s="14"/>
      <c r="E42" s="14"/>
      <c r="F42" s="14"/>
      <c r="G42" s="14"/>
      <c r="H42" s="14"/>
      <c r="I42" s="14"/>
      <c r="J42" s="14"/>
      <c r="K42" s="14"/>
      <c r="L42" s="14"/>
    </row>
    <row r="43" customFormat="false" ht="27.75" hidden="false" customHeight="true" outlineLevel="0" collapsed="false">
      <c r="A43" s="60" t="s">
        <v>326</v>
      </c>
      <c r="B43" s="60" t="s">
        <v>327</v>
      </c>
      <c r="C43" s="60" t="s">
        <v>328</v>
      </c>
      <c r="D43" s="60" t="s">
        <v>329</v>
      </c>
      <c r="E43" s="60" t="s">
        <v>330</v>
      </c>
      <c r="F43" s="60" t="s">
        <v>331</v>
      </c>
      <c r="G43" s="60" t="s">
        <v>332</v>
      </c>
      <c r="H43" s="60" t="s">
        <v>333</v>
      </c>
      <c r="I43" s="60"/>
      <c r="J43" s="60"/>
      <c r="K43" s="60"/>
      <c r="L43" s="60"/>
    </row>
    <row r="44" customFormat="false" ht="15" hidden="false" customHeight="false" outlineLevel="0" collapsed="false">
      <c r="A44" s="20" t="s">
        <v>334</v>
      </c>
      <c r="B44" s="113" t="n">
        <v>426277.44</v>
      </c>
      <c r="C44" s="113" t="n">
        <v>96096.36</v>
      </c>
      <c r="D44" s="113" t="n">
        <v>70150.32</v>
      </c>
      <c r="E44" s="113" t="n">
        <v>97512</v>
      </c>
      <c r="F44" s="114" t="n">
        <v>330181.08</v>
      </c>
      <c r="G44" s="114" t="n">
        <v>356127.12</v>
      </c>
      <c r="H44" s="114" t="n">
        <v>328765.44</v>
      </c>
    </row>
    <row r="45" customFormat="false" ht="15" hidden="false" customHeight="false" outlineLevel="0" collapsed="false">
      <c r="A45" s="70" t="s">
        <v>335</v>
      </c>
      <c r="B45" s="115" t="n">
        <v>447591.312</v>
      </c>
      <c r="C45" s="115" t="n">
        <v>100901.178</v>
      </c>
      <c r="D45" s="115" t="n">
        <v>73657.836</v>
      </c>
      <c r="E45" s="115" t="n">
        <v>102387.6</v>
      </c>
      <c r="F45" s="114" t="n">
        <v>346690.134</v>
      </c>
      <c r="G45" s="114" t="n">
        <v>373933.476</v>
      </c>
      <c r="H45" s="114" t="n">
        <v>345203.712</v>
      </c>
    </row>
    <row r="46" customFormat="false" ht="15" hidden="false" customHeight="false" outlineLevel="0" collapsed="false">
      <c r="A46" s="20" t="s">
        <v>336</v>
      </c>
      <c r="B46" s="113" t="n">
        <v>469970.8776</v>
      </c>
      <c r="C46" s="113" t="n">
        <v>105946.2369</v>
      </c>
      <c r="D46" s="113" t="n">
        <v>77340.7278</v>
      </c>
      <c r="E46" s="113" t="n">
        <v>107506.98</v>
      </c>
      <c r="F46" s="114" t="n">
        <v>364024.6407</v>
      </c>
      <c r="G46" s="114" t="n">
        <v>392630.1498</v>
      </c>
      <c r="H46" s="114" t="n">
        <v>362463.8976</v>
      </c>
    </row>
    <row r="47" customFormat="false" ht="23.85" hidden="false" customHeight="false" outlineLevel="0" collapsed="false">
      <c r="A47" s="116" t="s">
        <v>337</v>
      </c>
      <c r="B47" s="117" t="n">
        <f aca="false">SUM(B44:B46)</f>
        <v>1343839.6296</v>
      </c>
      <c r="C47" s="117" t="n">
        <f aca="false">SUM(C44:C46)</f>
        <v>302943.7749</v>
      </c>
      <c r="D47" s="117" t="n">
        <f aca="false">SUM(D44:D46)</f>
        <v>221148.8838</v>
      </c>
      <c r="E47" s="117" t="n">
        <f aca="false">SUM(E44:E46)</f>
        <v>307406.58</v>
      </c>
      <c r="F47" s="117" t="n">
        <f aca="false">SUM(F44:F46)</f>
        <v>1040895.8547</v>
      </c>
      <c r="G47" s="117" t="n">
        <f aca="false">SUM(G44:G46)</f>
        <v>1122690.7458</v>
      </c>
      <c r="H47" s="117" t="n">
        <f aca="false">SUM(H44:H46)</f>
        <v>1036433.0496</v>
      </c>
    </row>
  </sheetData>
  <mergeCells count="3">
    <mergeCell ref="A1:L1"/>
    <mergeCell ref="A2:L2"/>
    <mergeCell ref="A42:L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2026-03-25T12:02:10Z</dcterms:created>
  <dc:creator>openpyxl</dc:creator>
  <dc:description/>
  <dc:language>en-US</dc:language>
  <cp:lastModifiedBy/>
  <dcterms:modified xsi:type="dcterms:W3CDTF">2026-03-25T12:02:10Z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