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bhijit/AI and I/"/>
    </mc:Choice>
  </mc:AlternateContent>
  <xr:revisionPtr revIDLastSave="18" documentId="11_10F665670040A9ABAB96215C07189E45BDD177FE" xr6:coauthVersionLast="47" xr6:coauthVersionMax="47" xr10:uidLastSave="{AAAE0E2D-E2CB-474D-806B-185691FF61B5}"/>
  <bookViews>
    <workbookView xWindow="-108" yWindow="-108" windowWidth="23256" windowHeight="13896" tabRatio="500" firstSheet="4" activeTab="6" xr2:uid="{00000000-000D-0000-FFFF-FFFF00000000}"/>
  </bookViews>
  <sheets>
    <sheet name="Assumptions" sheetId="1" r:id="rId1"/>
    <sheet name="Executive Summary" sheetId="2" r:id="rId2"/>
    <sheet name="Cost Comparison" sheetId="3" r:id="rId3"/>
    <sheet name="Migration Plan &amp; Costs" sheetId="4" r:id="rId4"/>
    <sheet name="Risks &amp; Assumptions" sheetId="5" r:id="rId5"/>
    <sheet name="6-Month Migration Plan" sheetId="6" r:id="rId6"/>
    <sheet name="Financial Model (Jun26-Dec30)" sheetId="7" r:id="rId7"/>
    <sheet name="Architecture &amp; Connectivity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5" i="7" l="1"/>
  <c r="C84" i="7"/>
  <c r="C83" i="7"/>
  <c r="C82" i="7"/>
  <c r="C81" i="7"/>
  <c r="F80" i="7"/>
  <c r="D80" i="7"/>
  <c r="C80" i="7"/>
  <c r="C85" i="7" s="1"/>
  <c r="F30" i="7"/>
  <c r="F29" i="7"/>
  <c r="F23" i="7"/>
  <c r="E23" i="7"/>
  <c r="D23" i="7"/>
  <c r="C23" i="7"/>
  <c r="H22" i="7"/>
  <c r="H23" i="7" s="1"/>
  <c r="E22" i="7"/>
  <c r="H21" i="7"/>
  <c r="E21" i="7"/>
  <c r="H20" i="7"/>
  <c r="E20" i="7"/>
  <c r="H19" i="7"/>
  <c r="E19" i="7"/>
  <c r="H18" i="7"/>
  <c r="E18" i="7"/>
  <c r="H17" i="7"/>
  <c r="E17" i="7"/>
  <c r="B11" i="7"/>
  <c r="B8" i="7"/>
  <c r="B5" i="7"/>
  <c r="K10" i="6"/>
  <c r="K9" i="6"/>
  <c r="K8" i="6"/>
  <c r="K6" i="6"/>
  <c r="B53" i="4"/>
  <c r="F45" i="4"/>
  <c r="F44" i="4"/>
  <c r="F43" i="4"/>
  <c r="F42" i="4"/>
  <c r="F41" i="4"/>
  <c r="B41" i="4"/>
  <c r="D40" i="4"/>
  <c r="F35" i="4"/>
  <c r="E35" i="4"/>
  <c r="F34" i="4"/>
  <c r="E34" i="4"/>
  <c r="G27" i="4"/>
  <c r="F27" i="4"/>
  <c r="B27" i="4"/>
  <c r="D27" i="4" s="1"/>
  <c r="H26" i="4"/>
  <c r="G26" i="4"/>
  <c r="F26" i="4"/>
  <c r="D26" i="4"/>
  <c r="B26" i="4"/>
  <c r="G25" i="4"/>
  <c r="F25" i="4"/>
  <c r="B25" i="4"/>
  <c r="D25" i="4" s="1"/>
  <c r="G24" i="4"/>
  <c r="F24" i="4"/>
  <c r="B24" i="4"/>
  <c r="D24" i="4" s="1"/>
  <c r="H19" i="4"/>
  <c r="B51" i="4" s="1"/>
  <c r="G18" i="4"/>
  <c r="F18" i="4"/>
  <c r="E18" i="4"/>
  <c r="D18" i="4"/>
  <c r="G17" i="4"/>
  <c r="F17" i="4"/>
  <c r="E17" i="4"/>
  <c r="D17" i="4"/>
  <c r="F11" i="4"/>
  <c r="E11" i="4"/>
  <c r="B11" i="4"/>
  <c r="C11" i="4" s="1"/>
  <c r="G11" i="4" s="1"/>
  <c r="G10" i="4"/>
  <c r="F10" i="4"/>
  <c r="E10" i="4"/>
  <c r="C10" i="4"/>
  <c r="B10" i="4"/>
  <c r="F9" i="4"/>
  <c r="E9" i="4"/>
  <c r="B9" i="4"/>
  <c r="C9" i="4" s="1"/>
  <c r="G9" i="4" s="1"/>
  <c r="G12" i="4" s="1"/>
  <c r="B50" i="4" s="1"/>
  <c r="B8" i="4"/>
  <c r="C8" i="4" s="1"/>
  <c r="C7" i="4"/>
  <c r="B7" i="4"/>
  <c r="C34" i="3"/>
  <c r="B34" i="3"/>
  <c r="C29" i="3"/>
  <c r="D29" i="3" s="1"/>
  <c r="E29" i="3" s="1"/>
  <c r="C28" i="3"/>
  <c r="D28" i="3" s="1"/>
  <c r="E28" i="3" s="1"/>
  <c r="D27" i="3"/>
  <c r="E27" i="3" s="1"/>
  <c r="C27" i="3"/>
  <c r="C26" i="3"/>
  <c r="D26" i="3" s="1"/>
  <c r="E26" i="3" s="1"/>
  <c r="C25" i="3"/>
  <c r="D25" i="3" s="1"/>
  <c r="E25" i="3" s="1"/>
  <c r="D24" i="3"/>
  <c r="E24" i="3" s="1"/>
  <c r="C24" i="3"/>
  <c r="B24" i="3"/>
  <c r="C23" i="3"/>
  <c r="D23" i="3" s="1"/>
  <c r="E23" i="3" s="1"/>
  <c r="D22" i="3"/>
  <c r="E22" i="3" s="1"/>
  <c r="C22" i="3"/>
  <c r="C21" i="3"/>
  <c r="B21" i="3"/>
  <c r="D21" i="3" s="1"/>
  <c r="K16" i="3"/>
  <c r="B16" i="3"/>
  <c r="E16" i="3" s="1"/>
  <c r="K15" i="3"/>
  <c r="E15" i="3"/>
  <c r="C15" i="3"/>
  <c r="B15" i="3"/>
  <c r="K14" i="3"/>
  <c r="G14" i="3"/>
  <c r="I14" i="3" s="1"/>
  <c r="M14" i="3" s="1"/>
  <c r="E14" i="3"/>
  <c r="C14" i="3"/>
  <c r="B14" i="3"/>
  <c r="B13" i="3"/>
  <c r="B17" i="3" s="1"/>
  <c r="I9" i="3"/>
  <c r="H9" i="3"/>
  <c r="G9" i="3"/>
  <c r="F9" i="3"/>
  <c r="D9" i="3"/>
  <c r="C9" i="3"/>
  <c r="I8" i="3"/>
  <c r="H8" i="3"/>
  <c r="G8" i="3"/>
  <c r="F8" i="3"/>
  <c r="D8" i="3"/>
  <c r="C8" i="3"/>
  <c r="I7" i="3"/>
  <c r="H7" i="3"/>
  <c r="G7" i="3"/>
  <c r="F7" i="3"/>
  <c r="D7" i="3"/>
  <c r="C7" i="3"/>
  <c r="I6" i="3"/>
  <c r="H6" i="3"/>
  <c r="F6" i="3"/>
  <c r="D6" i="3"/>
  <c r="C6" i="3"/>
  <c r="F23" i="2"/>
  <c r="C23" i="2"/>
  <c r="E23" i="2" s="1"/>
  <c r="F22" i="2"/>
  <c r="D22" i="2"/>
  <c r="C22" i="2"/>
  <c r="F21" i="2"/>
  <c r="C21" i="2"/>
  <c r="E21" i="2" s="1"/>
  <c r="F20" i="2"/>
  <c r="C20" i="2"/>
  <c r="D20" i="2" s="1"/>
  <c r="F19" i="2"/>
  <c r="C19" i="2"/>
  <c r="D19" i="2" s="1"/>
  <c r="F15" i="2"/>
  <c r="E15" i="2"/>
  <c r="C15" i="2"/>
  <c r="G14" i="2"/>
  <c r="G13" i="2"/>
  <c r="G12" i="2"/>
  <c r="G11" i="2"/>
  <c r="G15" i="2" s="1"/>
  <c r="G10" i="2"/>
  <c r="A6" i="2"/>
  <c r="A5" i="2"/>
  <c r="C19" i="1"/>
  <c r="B18" i="4" s="1"/>
  <c r="C18" i="1"/>
  <c r="B17" i="4" s="1"/>
  <c r="C17" i="1"/>
  <c r="C16" i="1"/>
  <c r="C13" i="1"/>
  <c r="C15" i="1" s="1"/>
  <c r="B40" i="4" s="1"/>
  <c r="F40" i="4" s="1"/>
  <c r="F46" i="4" s="1"/>
  <c r="B54" i="4" s="1"/>
  <c r="C35" i="4" l="1"/>
  <c r="G35" i="4" s="1"/>
  <c r="H27" i="4"/>
  <c r="C34" i="4"/>
  <c r="G34" i="4" s="1"/>
  <c r="H25" i="4"/>
  <c r="G16" i="3"/>
  <c r="I16" i="3" s="1"/>
  <c r="M16" i="3" s="1"/>
  <c r="C33" i="4"/>
  <c r="H24" i="4"/>
  <c r="H28" i="4" s="1"/>
  <c r="B52" i="4" s="1"/>
  <c r="H80" i="7"/>
  <c r="G80" i="7"/>
  <c r="D30" i="3"/>
  <c r="B36" i="3" s="1"/>
  <c r="E21" i="3"/>
  <c r="E30" i="3" s="1"/>
  <c r="C36" i="3" s="1"/>
  <c r="G15" i="3"/>
  <c r="I15" i="3" s="1"/>
  <c r="M15" i="3" s="1"/>
  <c r="E13" i="3"/>
  <c r="C24" i="2"/>
  <c r="D24" i="2" s="1"/>
  <c r="C16" i="3"/>
  <c r="K13" i="3"/>
  <c r="K17" i="3" s="1"/>
  <c r="E22" i="2"/>
  <c r="D23" i="2"/>
  <c r="E19" i="2"/>
  <c r="E20" i="2"/>
  <c r="C13" i="3"/>
  <c r="C14" i="1"/>
  <c r="D21" i="2"/>
  <c r="C60" i="4" l="1"/>
  <c r="E24" i="2"/>
  <c r="E35" i="3"/>
  <c r="C35" i="3"/>
  <c r="C37" i="3" s="1"/>
  <c r="D35" i="3"/>
  <c r="B35" i="3"/>
  <c r="B37" i="3" s="1"/>
  <c r="E17" i="3"/>
  <c r="G13" i="3"/>
  <c r="G17" i="3" s="1"/>
  <c r="B55" i="4"/>
  <c r="D55" i="4" s="1"/>
  <c r="D50" i="4"/>
  <c r="C56" i="4"/>
  <c r="D52" i="4"/>
  <c r="D51" i="4"/>
  <c r="C17" i="3"/>
  <c r="D53" i="4"/>
  <c r="B6" i="7" l="1"/>
  <c r="G6" i="2"/>
  <c r="B61" i="4"/>
  <c r="D6" i="2"/>
  <c r="G5" i="2"/>
  <c r="D5" i="2"/>
  <c r="E37" i="3"/>
  <c r="D37" i="3"/>
  <c r="B7" i="7"/>
  <c r="J5" i="2"/>
  <c r="B60" i="4"/>
  <c r="I13" i="3"/>
  <c r="D54" i="4"/>
  <c r="D75" i="7" l="1"/>
  <c r="D71" i="7"/>
  <c r="D67" i="7"/>
  <c r="D63" i="7"/>
  <c r="D59" i="7"/>
  <c r="D55" i="7"/>
  <c r="D51" i="7"/>
  <c r="D47" i="7"/>
  <c r="D43" i="7"/>
  <c r="D39" i="7"/>
  <c r="D35" i="7"/>
  <c r="D31" i="7"/>
  <c r="D74" i="7"/>
  <c r="D70" i="7"/>
  <c r="D66" i="7"/>
  <c r="D62" i="7"/>
  <c r="D58" i="7"/>
  <c r="D54" i="7"/>
  <c r="D50" i="7"/>
  <c r="D46" i="7"/>
  <c r="D42" i="7"/>
  <c r="D38" i="7"/>
  <c r="D34" i="7"/>
  <c r="D30" i="7"/>
  <c r="E72" i="7"/>
  <c r="E60" i="7"/>
  <c r="E48" i="7"/>
  <c r="D72" i="7"/>
  <c r="D52" i="7"/>
  <c r="D36" i="7"/>
  <c r="E64" i="7"/>
  <c r="E52" i="7"/>
  <c r="D64" i="7"/>
  <c r="D60" i="7"/>
  <c r="D56" i="7"/>
  <c r="D48" i="7"/>
  <c r="D44" i="7"/>
  <c r="D40" i="7"/>
  <c r="D32" i="7"/>
  <c r="D69" i="7"/>
  <c r="D65" i="7"/>
  <c r="D61" i="7"/>
  <c r="D57" i="7"/>
  <c r="D53" i="7"/>
  <c r="D49" i="7"/>
  <c r="D45" i="7"/>
  <c r="D41" i="7"/>
  <c r="D37" i="7"/>
  <c r="D33" i="7"/>
  <c r="D29" i="7"/>
  <c r="E56" i="7"/>
  <c r="E40" i="7"/>
  <c r="E36" i="7"/>
  <c r="E32" i="7"/>
  <c r="D68" i="7"/>
  <c r="B9" i="7"/>
  <c r="C12" i="7" s="1"/>
  <c r="D73" i="7"/>
  <c r="E68" i="7"/>
  <c r="E44" i="7"/>
  <c r="E41" i="7"/>
  <c r="E45" i="7"/>
  <c r="E49" i="7"/>
  <c r="E57" i="7"/>
  <c r="E31" i="7"/>
  <c r="E61" i="7"/>
  <c r="E34" i="7"/>
  <c r="E69" i="7"/>
  <c r="E67" i="7"/>
  <c r="E33" i="7"/>
  <c r="E70" i="7"/>
  <c r="E71" i="7"/>
  <c r="E53" i="7"/>
  <c r="E65" i="7"/>
  <c r="E30" i="7"/>
  <c r="E35" i="7"/>
  <c r="E38" i="7"/>
  <c r="E39" i="7"/>
  <c r="E51" i="7"/>
  <c r="E55" i="7"/>
  <c r="E29" i="7"/>
  <c r="E42" i="7"/>
  <c r="E47" i="7"/>
  <c r="E50" i="7"/>
  <c r="E59" i="7"/>
  <c r="E63" i="7"/>
  <c r="E66" i="7"/>
  <c r="E37" i="7"/>
  <c r="E43" i="7"/>
  <c r="E73" i="7"/>
  <c r="E46" i="7"/>
  <c r="E54" i="7"/>
  <c r="E58" i="7"/>
  <c r="E62" i="7"/>
  <c r="E74" i="7"/>
  <c r="E75" i="7"/>
  <c r="I17" i="3"/>
  <c r="M13" i="3"/>
  <c r="M17" i="3" s="1"/>
  <c r="J6" i="2"/>
  <c r="B62" i="4"/>
  <c r="B64" i="4"/>
  <c r="B63" i="4"/>
  <c r="D82" i="7" l="1"/>
  <c r="E82" i="7"/>
  <c r="G82" i="7"/>
  <c r="B12" i="7"/>
  <c r="F75" i="7"/>
  <c r="F74" i="7"/>
  <c r="F70" i="7"/>
  <c r="F66" i="7"/>
  <c r="F62" i="7"/>
  <c r="F58" i="7"/>
  <c r="F54" i="7"/>
  <c r="F50" i="7"/>
  <c r="F46" i="7"/>
  <c r="F42" i="7"/>
  <c r="F38" i="7"/>
  <c r="F34" i="7"/>
  <c r="F52" i="7"/>
  <c r="F40" i="7"/>
  <c r="F36" i="7"/>
  <c r="F63" i="7"/>
  <c r="F43" i="7"/>
  <c r="F31" i="7"/>
  <c r="F68" i="7"/>
  <c r="F64" i="7"/>
  <c r="F60" i="7"/>
  <c r="F48" i="7"/>
  <c r="F44" i="7"/>
  <c r="F32" i="7"/>
  <c r="F71" i="7"/>
  <c r="F51" i="7"/>
  <c r="F39" i="7"/>
  <c r="F73" i="7"/>
  <c r="F69" i="7"/>
  <c r="F65" i="7"/>
  <c r="F61" i="7"/>
  <c r="F57" i="7"/>
  <c r="F53" i="7"/>
  <c r="F49" i="7"/>
  <c r="F45" i="7"/>
  <c r="F41" i="7"/>
  <c r="F37" i="7"/>
  <c r="F33" i="7"/>
  <c r="F56" i="7"/>
  <c r="F67" i="7"/>
  <c r="F55" i="7"/>
  <c r="F47" i="7"/>
  <c r="F35" i="7"/>
  <c r="F72" i="7"/>
  <c r="F59" i="7"/>
  <c r="H29" i="7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E83" i="7"/>
  <c r="D83" i="7"/>
  <c r="G83" i="7"/>
  <c r="D84" i="7"/>
  <c r="G84" i="7"/>
  <c r="E84" i="7"/>
  <c r="D81" i="7"/>
  <c r="E81" i="7"/>
  <c r="E85" i="7" s="1"/>
  <c r="G81" i="7"/>
  <c r="G85" i="7" l="1"/>
  <c r="H81" i="7"/>
  <c r="H82" i="7" s="1"/>
  <c r="H83" i="7" s="1"/>
  <c r="H84" i="7" s="1"/>
  <c r="H85" i="7" s="1"/>
  <c r="D85" i="7"/>
</calcChain>
</file>

<file path=xl/sharedStrings.xml><?xml version="1.0" encoding="utf-8"?>
<sst xmlns="http://schemas.openxmlformats.org/spreadsheetml/2006/main" count="1384" uniqueCount="997">
  <si>
    <t>CENTRAL ASSUMPTIONS — ALL INPUTS IN ONE PLACE</t>
  </si>
  <si>
    <t>Yellow = hardcoded inputs (change here) | All other sheets reference these cells | Black text = formula | Blue text = linked input</t>
  </si>
  <si>
    <t>STORAGE VOLUMES (from HubStor Master Report v5)</t>
  </si>
  <si>
    <t>Parameter</t>
  </si>
  <si>
    <t>Cell Ref</t>
  </si>
  <si>
    <t>Value</t>
  </si>
  <si>
    <t>Unit</t>
  </si>
  <si>
    <t>Source / Notes</t>
  </si>
  <si>
    <t>Standard tier GiB</t>
  </si>
  <si>
    <t>A6</t>
  </si>
  <si>
    <t>GiB</t>
  </si>
  <si>
    <t>HubStor Master Report v5 actuals</t>
  </si>
  <si>
    <t>Hot tier GiB</t>
  </si>
  <si>
    <t>A7</t>
  </si>
  <si>
    <t>Cool tier GiB</t>
  </si>
  <si>
    <t>A8</t>
  </si>
  <si>
    <t>Cold tier GiB</t>
  </si>
  <si>
    <t>A9</t>
  </si>
  <si>
    <t>Archive tier GiB</t>
  </si>
  <si>
    <t>A10</t>
  </si>
  <si>
    <t>GiB → GB conversion factor</t>
  </si>
  <si>
    <t>A11</t>
  </si>
  <si>
    <t>×</t>
  </si>
  <si>
    <t>1 GiB = 1.074 GB (decimal)</t>
  </si>
  <si>
    <t>GiB per TiB (divisor)</t>
  </si>
  <si>
    <t>A12</t>
  </si>
  <si>
    <t>÷</t>
  </si>
  <si>
    <t>1 TiB = 1024 GiB</t>
  </si>
  <si>
    <t>Total GiB (all tiers)</t>
  </si>
  <si>
    <t>A13</t>
  </si>
  <si>
    <t>Sum of all five tiers</t>
  </si>
  <si>
    <t>Total TiB</t>
  </si>
  <si>
    <t>A14</t>
  </si>
  <si>
    <t>TiB</t>
  </si>
  <si>
    <t>Total GiB ÷ 1,024</t>
  </si>
  <si>
    <t>Total GB (decimal)</t>
  </si>
  <si>
    <t>A15</t>
  </si>
  <si>
    <t>GB</t>
  </si>
  <si>
    <t>Total GiB × 1.074 (for Azure/AWS pricing which uses decimal GB)</t>
  </si>
  <si>
    <t>US region GiB</t>
  </si>
  <si>
    <t>A16</t>
  </si>
  <si>
    <t>EastUS2 + WestUS2 (from Master Report)</t>
  </si>
  <si>
    <t>EU region GiB</t>
  </si>
  <si>
    <t>A17</t>
  </si>
  <si>
    <t>UKSouth + WestEurope + GermanyWestCentral</t>
  </si>
  <si>
    <t>US region GB</t>
  </si>
  <si>
    <t>A18</t>
  </si>
  <si>
    <t>US GiB × 1.074</t>
  </si>
  <si>
    <t>EU region GB</t>
  </si>
  <si>
    <t>A19</t>
  </si>
  <si>
    <t>EU GiB × 1.074</t>
  </si>
  <si>
    <t>AZURE / HUBSTOR PRICING</t>
  </si>
  <si>
    <t>Azure Standard/Hot $/GB/mo</t>
  </si>
  <si>
    <t>A23</t>
  </si>
  <si>
    <t>$/GB/mo</t>
  </si>
  <si>
    <t>Azure Blob Standard pricing (public)</t>
  </si>
  <si>
    <t>Azure Cool $/GB/mo</t>
  </si>
  <si>
    <t>A24</t>
  </si>
  <si>
    <t>Azure Blob Cool tier</t>
  </si>
  <si>
    <t>Azure Cold $/GB/mo</t>
  </si>
  <si>
    <t>A25</t>
  </si>
  <si>
    <t>Azure Blob Cold tier</t>
  </si>
  <si>
    <t>Azure Archive $/GB/mo</t>
  </si>
  <si>
    <t>A26</t>
  </si>
  <si>
    <t>Azure Blob Archive tier</t>
  </si>
  <si>
    <t>HubStor mgmt fee % of storage</t>
  </si>
  <si>
    <t>A27</t>
  </si>
  <si>
    <t>%</t>
  </si>
  <si>
    <t>Actual ratio: $9,068 non-storage ÷ $26,455 storage from Master Report</t>
  </si>
  <si>
    <t>Azure Cool retrieval $/GB</t>
  </si>
  <si>
    <t>A28</t>
  </si>
  <si>
    <t>$/GB</t>
  </si>
  <si>
    <t>Azure Blob Cool read charge</t>
  </si>
  <si>
    <t>Azure Cold retrieval $/GB</t>
  </si>
  <si>
    <t>A29</t>
  </si>
  <si>
    <t>Azure Blob Cold read charge</t>
  </si>
  <si>
    <t>Azure Archive rehydration $/GB</t>
  </si>
  <si>
    <t>A30</t>
  </si>
  <si>
    <t>Standard rehydration priority (~15hr wait)</t>
  </si>
  <si>
    <t>Azure egress tier1 $/GB</t>
  </si>
  <si>
    <t>A31</t>
  </si>
  <si>
    <t>0–10 TB internet egress</t>
  </si>
  <si>
    <t>Azure egress tier2 $/GB</t>
  </si>
  <si>
    <t>A32</t>
  </si>
  <si>
    <t>10–50 TB internet egress</t>
  </si>
  <si>
    <t>Azure egress tier3 $/GB</t>
  </si>
  <si>
    <t>A33</t>
  </si>
  <si>
    <t>50–150 TB internet egress</t>
  </si>
  <si>
    <t>Azure egress tier4 $/GB</t>
  </si>
  <si>
    <t>A34</t>
  </si>
  <si>
    <t>&gt;150 TB internet egress</t>
  </si>
  <si>
    <t>AWS PRICING</t>
  </si>
  <si>
    <t>S3 Standard $/GB/mo (US)</t>
  </si>
  <si>
    <t>A38</t>
  </si>
  <si>
    <t>AWS us-east-1 list price 2026</t>
  </si>
  <si>
    <t>S3 Standard $/GB/mo (EU)</t>
  </si>
  <si>
    <t>A39</t>
  </si>
  <si>
    <t>AWS EU regions list price</t>
  </si>
  <si>
    <t>S3 Standard-IA $/GB/mo (US)</t>
  </si>
  <si>
    <t>A40</t>
  </si>
  <si>
    <t>AWS Standard-IA storage rate</t>
  </si>
  <si>
    <t>S3 Standard-IA $/GB/mo (EU)</t>
  </si>
  <si>
    <t>A41</t>
  </si>
  <si>
    <t>AWS EU Standard-IA</t>
  </si>
  <si>
    <t>S3 Glacier IR $/GB/mo (US)</t>
  </si>
  <si>
    <t>A42</t>
  </si>
  <si>
    <t>Glacier Instant Retrieval</t>
  </si>
  <si>
    <t>S3 Glacier IR $/GB/mo (EU)</t>
  </si>
  <si>
    <t>A43</t>
  </si>
  <si>
    <t>Glacier IR EU</t>
  </si>
  <si>
    <t>S3 Glacier Deep Archive $/GB/mo (US)</t>
  </si>
  <si>
    <t>A44</t>
  </si>
  <si>
    <t>Glacier Deep Archive (cheapest tier)</t>
  </si>
  <si>
    <t>S3 Glacier Deep Archive $/GB/mo (EU)</t>
  </si>
  <si>
    <t>A45</t>
  </si>
  <si>
    <t>Glacier Deep Archive EU</t>
  </si>
  <si>
    <t>S3 Standard PUT $/1K requests</t>
  </si>
  <si>
    <t>A46</t>
  </si>
  <si>
    <t>$/1K</t>
  </si>
  <si>
    <t>PUT/COPY/POST/LIST Standard</t>
  </si>
  <si>
    <t>S3 Standard-IA PUT $/1K requests</t>
  </si>
  <si>
    <t>A47</t>
  </si>
  <si>
    <t>IA has higher PUT rate</t>
  </si>
  <si>
    <t>S3 Glacier Deep Archive PUT $/1K</t>
  </si>
  <si>
    <t>A48</t>
  </si>
  <si>
    <t>10× Standard — file size matters</t>
  </si>
  <si>
    <t>S3 API non-storage overhead %</t>
  </si>
  <si>
    <t>A49</t>
  </si>
  <si>
    <t>Estimated ongoing API/request costs as % of storage (conservative)</t>
  </si>
  <si>
    <t>Glacier Deep Archive retrieval $/GB</t>
  </si>
  <si>
    <t>A50</t>
  </si>
  <si>
    <t>Data retrieval fee from Deep Archive</t>
  </si>
  <si>
    <t>S3 egress to internet $/GB (first 10TB)</t>
  </si>
  <si>
    <t>A51</t>
  </si>
  <si>
    <t>S3 outbound data transfer</t>
  </si>
  <si>
    <t>Storage Gateway Hardware Appliance (amortised 36mo) $/mo/site</t>
  </si>
  <si>
    <t>A52</t>
  </si>
  <si>
    <t>$/mo</t>
  </si>
  <si>
    <t>AWS Storage Gateway Hardware Appliance ~$16,920 list price ÷ 36 months; no EC2, no EBS</t>
  </si>
  <si>
    <t>S3 Transfer Acceleration $/mo (set 0 if not used)</t>
  </si>
  <si>
    <t>A53</t>
  </si>
  <si>
    <t>Transfer Acceleration adds speed for global uploads; set $0 for archive-only workload</t>
  </si>
  <si>
    <t>Number of gateway sites</t>
  </si>
  <si>
    <t>A54</t>
  </si>
  <si>
    <t>sites</t>
  </si>
  <si>
    <t>5 distinct sites: US-East, US-West, UK, NL/EU, DE</t>
  </si>
  <si>
    <t>CloudWatch $/mo</t>
  </si>
  <si>
    <t>A55</t>
  </si>
  <si>
    <t>Dashboards + custom metrics + alarms + log groups</t>
  </si>
  <si>
    <t>KMS key $/mo per key</t>
  </si>
  <si>
    <t>A56</t>
  </si>
  <si>
    <t>AWS KMS CMK; 1 per region = 5 keys</t>
  </si>
  <si>
    <t>Number of KMS keys</t>
  </si>
  <si>
    <t>A57</t>
  </si>
  <si>
    <t>keys</t>
  </si>
  <si>
    <t>One per AWS region</t>
  </si>
  <si>
    <t>SNS alerts $/mo</t>
  </si>
  <si>
    <t>A58</t>
  </si>
  <si>
    <t>Notification topics for cost/health alerts</t>
  </si>
  <si>
    <t>AWS Config $/mo</t>
  </si>
  <si>
    <t>A59</t>
  </si>
  <si>
    <t>Compliance rule evaluation</t>
  </si>
  <si>
    <t>S3 ongoing API operations $/mo</t>
  </si>
  <si>
    <t>A60</t>
  </si>
  <si>
    <t>PUT new archive data + GET requests monthly</t>
  </si>
  <si>
    <t>Glacier retrieval $/mo (est.)</t>
  </si>
  <si>
    <t>A61</t>
  </si>
  <si>
    <t>0.5% of 862 TiB archive retrieved monthly × $0.02/GB</t>
  </si>
  <si>
    <t>S3 egress internet $/mo (est.)</t>
  </si>
  <si>
    <t>A62</t>
  </si>
  <si>
    <t>~10% of retrieved data goes to internet</t>
  </si>
  <si>
    <t>AWS DataSync $/GB scanned</t>
  </si>
  <si>
    <t>A63</t>
  </si>
  <si>
    <t>One-time migration only</t>
  </si>
  <si>
    <t>Annual data growth rate</t>
  </si>
  <si>
    <t>A64</t>
  </si>
  <si>
    <t>5% YoY assumption for financial model</t>
  </si>
  <si>
    <t>HubStor monthly cost (actual)</t>
  </si>
  <si>
    <t>A65</t>
  </si>
  <si>
    <t>Actuals from Master Report — storage + non-storage</t>
  </si>
  <si>
    <t>HUBSTOR → AWS S3 COMPLETE MIGRATION  |  BUSINESS CASE &amp; COST ANALYSIS</t>
  </si>
  <si>
    <t>Prepared for Internal Review  |  Based on HubStor Master Report v5  |  Full HubStor + Azure Blob replacement</t>
  </si>
  <si>
    <t>CURRENT HUBSTOR + AZURE COST</t>
  </si>
  <si>
    <t>AWS TOTAL MONTHLY (after migration)</t>
  </si>
  <si>
    <t>MONTHLY SAVING  (HubStor − AWS)</t>
  </si>
  <si>
    <t>ONE-TIME MIGRATION COST</t>
  </si>
  <si>
    <t>CURRENT HUBSTOR COSTS BY AZURE REGION (Source: HubStor Master Report v5)</t>
  </si>
  <si>
    <t>Azure Region</t>
  </si>
  <si>
    <t>Azure Location</t>
  </si>
  <si>
    <t>Total Usage (GiB)</t>
  </si>
  <si>
    <t>Formula: GiB</t>
  </si>
  <si>
    <t>Storage Cost/mo ($)</t>
  </si>
  <si>
    <t>Non-Storage/HubStor Fee ($)</t>
  </si>
  <si>
    <t>Total Cost/mo ($)</t>
  </si>
  <si>
    <t>Formula: Total</t>
  </si>
  <si>
    <t>EastUS2</t>
  </si>
  <si>
    <t>Virginia, USA</t>
  </si>
  <si>
    <t>Hardcoded from Master Report</t>
  </si>
  <si>
    <t>Storage + HubStor platform/non-storage fee</t>
  </si>
  <si>
    <t>GermanyWestCentral</t>
  </si>
  <si>
    <t>Frankfurt, Germany</t>
  </si>
  <si>
    <t>UKSouth</t>
  </si>
  <si>
    <t>London, UK</t>
  </si>
  <si>
    <t>WestEurope</t>
  </si>
  <si>
    <t>Amsterdam, Netherlands</t>
  </si>
  <si>
    <t>WestUS2</t>
  </si>
  <si>
    <t>Washington, USA</t>
  </si>
  <si>
    <t>GRAND TOTAL</t>
  </si>
  <si>
    <t>All 5 Azure Regions</t>
  </si>
  <si>
    <t>SUM(C10:C14) — sum all regions</t>
  </si>
  <si>
    <t>Storage Cost + Non-Storage/HubStor platform fee</t>
  </si>
  <si>
    <t>STORAGE BY AZURE TIER (all values from Assumptions sheet — change inputs there)</t>
  </si>
  <si>
    <t>Azure Tier</t>
  </si>
  <si>
    <t>Equiv. AWS Class</t>
  </si>
  <si>
    <t>Usage (GiB)</t>
  </si>
  <si>
    <t>Usage (TiB)</t>
  </si>
  <si>
    <t>% of Total</t>
  </si>
  <si>
    <t>Azure $/GB/mo</t>
  </si>
  <si>
    <t>Standard</t>
  </si>
  <si>
    <t>S3 Standard</t>
  </si>
  <si>
    <t>Hot</t>
  </si>
  <si>
    <t>Cool</t>
  </si>
  <si>
    <t>S3 Standard-IA</t>
  </si>
  <si>
    <t>Cold</t>
  </si>
  <si>
    <t>S3 Glacier IR</t>
  </si>
  <si>
    <t>Archive</t>
  </si>
  <si>
    <t>S3 Deep Archive</t>
  </si>
  <si>
    <t>TOTAL</t>
  </si>
  <si>
    <t>AZURE HUBSTOR vs AWS S3 — COMPLETE COST COMPARISON (Storage + All Infrastructure)</t>
  </si>
  <si>
    <t>All values linked to Assumptions sheet | Black = formula | Blue = hardcoded input | Green = cross-sheet link | Yellow = input cell</t>
  </si>
  <si>
    <t>TIER PRICING ASSUMPTIONS (all rates from Assumptions sheet — edit there)</t>
  </si>
  <si>
    <t>Storage Tier</t>
  </si>
  <si>
    <t>Formula</t>
  </si>
  <si>
    <t>AWS Class</t>
  </si>
  <si>
    <t>AWS $/GB/mo (blended)</t>
  </si>
  <si>
    <t>HubStor Mgmt %</t>
  </si>
  <si>
    <t>Min Duration</t>
  </si>
  <si>
    <t>Notes</t>
  </si>
  <si>
    <t>Standard/Hot</t>
  </si>
  <si>
    <t>(Assumptions!C36+Assumptions!C37)/2 — avg US+EU</t>
  </si>
  <si>
    <t>None</t>
  </si>
  <si>
    <t>Active files; low % of total</t>
  </si>
  <si>
    <t>30 days</t>
  </si>
  <si>
    <t>Retrieval fee applies</t>
  </si>
  <si>
    <t>90 days</t>
  </si>
  <si>
    <t>Millisecond retrieval</t>
  </si>
  <si>
    <t>180 days</t>
  </si>
  <si>
    <t>Dominant tier — 83% of data</t>
  </si>
  <si>
    <t>MONTHLY COST COMPARISON BY STORAGE TIER</t>
  </si>
  <si>
    <t>Tier</t>
  </si>
  <si>
    <t>Formula: TiB</t>
  </si>
  <si>
    <t>Azure Storage $/mo</t>
  </si>
  <si>
    <t>HubStor Mgmt $/mo</t>
  </si>
  <si>
    <t>Azure Total $/mo</t>
  </si>
  <si>
    <t>AWS Storage $/mo</t>
  </si>
  <si>
    <t>Monthly Saving $</t>
  </si>
  <si>
    <t>B13÷1024</t>
  </si>
  <si>
    <t>B13×Assumptions CC23×1.074 (GiB→GB×$/GB)</t>
  </si>
  <si>
    <t>azure storage × HubStor mgmt%</t>
  </si>
  <si>
    <t>azure storage + hubstor mgmt fee</t>
  </si>
  <si>
    <t>B13×1.074×Blended Standard/Hot AWS price</t>
  </si>
  <si>
    <t>Azure Total - AWS Storage = monthly saving</t>
  </si>
  <si>
    <t>B14÷1024</t>
  </si>
  <si>
    <t>B14×Assumptions CC24×1.074 (GiB→GB×$/GB)</t>
  </si>
  <si>
    <t>B14×1.074×Standard-IA blended</t>
  </si>
  <si>
    <t>B15÷1024</t>
  </si>
  <si>
    <t>B15×Assumptions CC25×1.074 (GiB→GB×$/GB)</t>
  </si>
  <si>
    <t>B15×1.074×Glacier IR blended</t>
  </si>
  <si>
    <t>B16÷1024</t>
  </si>
  <si>
    <t>B16×Assumptions CC26×1.074 (GiB→GB×$/GB)</t>
  </si>
  <si>
    <t>B16×1.074×Glacier Deep Archive blended</t>
  </si>
  <si>
    <t>STORAGE SUBTOTAL</t>
  </si>
  <si>
    <t>AWS INFRASTRUCTURE COSTS — Storage Gateway Appliance Architecture (On-prem → Appliance → S3)</t>
  </si>
  <si>
    <t>Resource</t>
  </si>
  <si>
    <t>Qty</t>
  </si>
  <si>
    <t>Unit Cost /mo</t>
  </si>
  <si>
    <t>Monthly ($)</t>
  </si>
  <si>
    <t>Annual ($)</t>
  </si>
  <si>
    <t>Storage Gateway Hardware Appliance (5 sites × amortised)</t>
  </si>
  <si>
    <t>AWS-sold hardware appliance ~$16,920/unit ÷ 36mo = $470/site/mo. No EC2, no EBS needed.</t>
  </si>
  <si>
    <t>S3 Transfer Acceleration (optional — set $0 for archive)</t>
  </si>
  <si>
    <t>1</t>
  </si>
  <si>
    <t>Only needed if upload speed over long-distance WAN is critical. Archive workloads: $0.</t>
  </si>
  <si>
    <t>CloudWatch (monitoring, dashboards, alarms, logs)</t>
  </si>
  <si>
    <t>Dashboards + custom metrics + CloudWatch alarms + log ingestion</t>
  </si>
  <si>
    <t>AWS KMS — Customer Managed Keys (1 per region × 5)</t>
  </si>
  <si>
    <t>$1/key/mo × 5 regions = $5/mo. Encrypts S3 objects and Gateway cache.</t>
  </si>
  <si>
    <t>SNS — cost &amp; health alert notifications</t>
  </si>
  <si>
    <t>Alert topics for budget anomalies and Gateway connectivity issues</t>
  </si>
  <si>
    <t>AWS Config — compliance rule evaluation</t>
  </si>
  <si>
    <t>GxP/regulatory config rules on S3 buckets. Object Lock compliance checks.</t>
  </si>
  <si>
    <t>S3 API Operations — ongoing PUTs/GETs (new archive writes)</t>
  </si>
  <si>
    <t>Estimated monthly API cost for new data written from all 5 gateway sites</t>
  </si>
  <si>
    <t>Glacier Deep Archive retrieval fees (ongoing, est. 0.5%/mo)</t>
  </si>
  <si>
    <t>0.5% of 862 TiB retrieved/mo × $0.02/GB restore fee</t>
  </si>
  <si>
    <t>S3 egress to internet (end-user retrieval, est.)</t>
  </si>
  <si>
    <t>~10% of retrieved data sent externally. Rest served within AWS/Gateway.</t>
  </si>
  <si>
    <t>INFRASTRUCTURE SUBTOTAL</t>
  </si>
  <si>
    <t>TOTAL COST SUMMARY — HUBSTOR (CURRENT) vs AWS S3 COMPLETE REPLACEMENT</t>
  </si>
  <si>
    <t>Line Item</t>
  </si>
  <si>
    <t>Saving vs HubStor</t>
  </si>
  <si>
    <t>% Reduction</t>
  </si>
  <si>
    <t>Current HubStor + Azure Blob (ALL-IN)</t>
  </si>
  <si>
    <t>$0</t>
  </si>
  <si>
    <t>0%</t>
  </si>
  <si>
    <t>Actuals from Master Report</t>
  </si>
  <si>
    <t>AWS S3 Storage Cost (all 5 tiers)</t>
  </si>
  <si>
    <t>Pure S3 storage — Standard/IA/GlacierIR/DeepArchive</t>
  </si>
  <si>
    <t>AWS Infrastructure (Gateway appliance + ops)</t>
  </si>
  <si>
    <t>Appliance amortisation, KMS, CloudWatch, API ops, egress</t>
  </si>
  <si>
    <t>AWS TOTAL (Storage + Infrastructure)</t>
  </si>
  <si>
    <t>Complete like-for-like replacement of HubStor</t>
  </si>
  <si>
    <t>ONE-TIME MIGRATION COSTS — COMPLETE ITEMIZED BREAKDOWN (All formulas shown)</t>
  </si>
  <si>
    <t>All four cost components + AWS setup costs | Black = formula | Blue/Yellow = input | Route: Azure → Public internet → S3 (NOT via VPN)</t>
  </si>
  <si>
    <t>COMPONENT 1 — AZURE RETRIEVAL CHARGES (reading data out of Azure Blob before egress)</t>
  </si>
  <si>
    <t>ℹ  Standard/Hot: no retrieval fee. Cool=$0.01/GB. Cold=$0.03/GB. Archive=$0.022/GB (Standard rehydration, ~15hr wait — factor into timeline)</t>
  </si>
  <si>
    <t>GiB (input)</t>
  </si>
  <si>
    <t>GB (decimal)</t>
  </si>
  <si>
    <t>Formula: GB</t>
  </si>
  <si>
    <t>Retrieval $/GB</t>
  </si>
  <si>
    <t>Retrieval Cost ($)</t>
  </si>
  <si>
    <t>B7×Assumptions!C11 (GiB→GB)</t>
  </si>
  <si>
    <t>No charge — Standard tier: read freely at no cost</t>
  </si>
  <si>
    <t>No retrieval fee</t>
  </si>
  <si>
    <t>B8×Assumptions!C11 (GiB→GB)</t>
  </si>
  <si>
    <t>No charge — Hot tier: read freely at no cost</t>
  </si>
  <si>
    <t>B9×Assumptions!C11 (GiB→GB)</t>
  </si>
  <si>
    <t>C9×E9 (GB × retrieval rate)</t>
  </si>
  <si>
    <t>Per-GB read charge</t>
  </si>
  <si>
    <t>B10×Assumptions!C11 (GiB→GB)</t>
  </si>
  <si>
    <t>C10×E10 (GB × retrieval rate)</t>
  </si>
  <si>
    <t>B11×Assumptions!C11 (GiB→GB)</t>
  </si>
  <si>
    <t>C11×E11 (GB × retrieval rate)</t>
  </si>
  <si>
    <t>Standard rehydration rate (15hr per batch)</t>
  </si>
  <si>
    <t>SUBTOTAL — AZURE RETRIEVAL</t>
  </si>
  <si>
    <t>SUM(G7:G11) — sum all five tiers</t>
  </si>
  <si>
    <t>COMPONENT 2 — AZURE EGRESS CHARGES (direct to S3 public endpoint — NOT via VPN)</t>
  </si>
  <si>
    <t>ℹ  VPN routing adds AWS transit/inspection costs. Use S3 public endpoints. Azure charges tiered egress: rates drop for higher volumes. First 100GB free.</t>
  </si>
  <si>
    <t>Region Group</t>
  </si>
  <si>
    <t>Volume (GB)</t>
  </si>
  <si>
    <t>Formula: Volume</t>
  </si>
  <si>
    <t>Tier1 $/GB ≤10TB</t>
  </si>
  <si>
    <t>Tier2 $/GB 10-50TB</t>
  </si>
  <si>
    <t>Tier3 $/GB 50-150TB</t>
  </si>
  <si>
    <t>Tier4 $/GB &gt;150TB</t>
  </si>
  <si>
    <t>Egress Cost ($)</t>
  </si>
  <si>
    <t>US Regions (EastUS2 + WestUS2)</t>
  </si>
  <si>
    <t>Assumptions!C18 — US GiB × 1.074</t>
  </si>
  <si>
    <t>eastus2+westus2 gib×1.074 then tiered: 100GB free + 9900GB×$0.087 + 40000GB×$0.083 + 100000GB×$0.070 + remainder×$0.050</t>
  </si>
  <si>
    <t>Virginia→us-east-1, Washington→us-west-2</t>
  </si>
  <si>
    <t>EU Regions (UKSouth + WestEurope + GermanyWestCentral)</t>
  </si>
  <si>
    <t>Assumptions!C19 — EU GiB × 1.074</t>
  </si>
  <si>
    <t>eu gib×1.074 tiered: 100GB free + 9900GB×$0.087 + 40000GB×$0.083 + 100000GB×$0.070 + remainder×$0.050</t>
  </si>
  <si>
    <t>UK→eu-west-2, NL→eu-west-1, DE→eu-central-1</t>
  </si>
  <si>
    <t>SUBTOTAL — AZURE EGRESS</t>
  </si>
  <si>
    <t>SUM(H17:H18) — sum US+EU egress</t>
  </si>
  <si>
    <t>COMPONENT 3 — AWS S3 PUT REQUEST CHARGES (ingress to AWS is free; API calls are not)</t>
  </si>
  <si>
    <t>ℹ  PUT rate varies by storage class. Glacier Deep Archive = $0.05/1K (10× Standard). Average file size is critical — adjust yellow cells. Object count = GiB×1024÷avg_MB.</t>
  </si>
  <si>
    <t>Storage Class</t>
  </si>
  <si>
    <t>Volume (GiB)</t>
  </si>
  <si>
    <t>Avg File MB ← INPUT</t>
  </si>
  <si>
    <t>Object Count</t>
  </si>
  <si>
    <t>Formula: Object Count</t>
  </si>
  <si>
    <t>PUT Rate ($/1K)</t>
  </si>
  <si>
    <t>PUT Cost ($)</t>
  </si>
  <si>
    <t>S3 Standard (Std+Hot)</t>
  </si>
  <si>
    <t>(B24 gib × 1024 MB/GiB) ÷ C24 (avg MB per file))</t>
  </si>
  <si>
    <t>(object count ÷ 1000) × PUT rate)</t>
  </si>
  <si>
    <t>Low avg size — active files</t>
  </si>
  <si>
    <t>S3 Standard-IA (Cool)</t>
  </si>
  <si>
    <t>(B25 gib × 1024 MB/GiB) ÷ C25 (avg MB per file))</t>
  </si>
  <si>
    <t>$0.01/1K — IA PUT rate higher</t>
  </si>
  <si>
    <t>S3 Glacier IR (Cold)</t>
  </si>
  <si>
    <t>(B26 gib × 1024 MB/GiB) ÷ C26 (avg MB per file))</t>
  </si>
  <si>
    <t>Standard PUT rate</t>
  </si>
  <si>
    <t>S3 Glacier Deep Archive</t>
  </si>
  <si>
    <t>(B27 gib × 1024 MB/GiB) ÷ C27 (avg MB per file))</t>
  </si>
  <si>
    <t>⚠ $0.05/1K — 10× Standard; file size critical</t>
  </si>
  <si>
    <t>SUBTOTAL — S3 PUT REQUESTS</t>
  </si>
  <si>
    <t>SUM(H24:H27) — sum all PUT tiers</t>
  </si>
  <si>
    <t>COMPONENT 4 — POST-INGESTION LIFECYCLE TRANSITION CHARGES</t>
  </si>
  <si>
    <t>ℹ  BEST PRACTICE: PUT directly into target storage class using --storage-class flag in DataSync. This makes transition cost $0. Option B shown for reference only.</t>
  </si>
  <si>
    <t>Option</t>
  </si>
  <si>
    <t>Target Class</t>
  </si>
  <si>
    <t>Transition $/1K</t>
  </si>
  <si>
    <t>Transition Cost ($)</t>
  </si>
  <si>
    <t>Recommendation</t>
  </si>
  <si>
    <t>OPTION A (recommended): PUT directly to target class</t>
  </si>
  <si>
    <t>All classes</t>
  </si>
  <si>
    <t>Sum of all object counts from PUT section</t>
  </si>
  <si>
    <t>0 — PUT directly into target class: no lifecycle transition</t>
  </si>
  <si>
    <t>✅ Use --storage-class flag per DataSync task. Zero cost.</t>
  </si>
  <si>
    <t>OPTION B: Land in Standard, transition to Standard-IA</t>
  </si>
  <si>
    <t>Standard-IA</t>
  </si>
  <si>
    <t>Cool object count from PUT section row D</t>
  </si>
  <si>
    <t>(object count ÷ 1000) × transition rate)</t>
  </si>
  <si>
    <t>Avoid — use Option A above</t>
  </si>
  <si>
    <t>OPTION B: Land in Standard, transition to Deep Archive</t>
  </si>
  <si>
    <t>Glacier Deep Archive</t>
  </si>
  <si>
    <t>Archive object count from PUT section row D</t>
  </si>
  <si>
    <t>⚠ Most expensive — avoid for 882 TiB archive data</t>
  </si>
  <si>
    <t>COMPONENT 5 — AWS ONE-TIME SETUP &amp; MIGRATION EXECUTION COSTS (complete HubStor replacement)</t>
  </si>
  <si>
    <t>Item</t>
  </si>
  <si>
    <t>Formula: Qty</t>
  </si>
  <si>
    <t>Unit Cost ($)</t>
  </si>
  <si>
    <t>Total Cost ($)</t>
  </si>
  <si>
    <t>AWS DataSync — data scanning/migration fee</t>
  </si>
  <si>
    <t>Assumptions!C15 (total GB decimal)</t>
  </si>
  <si>
    <t>Assumptions!C63 ($0.0125/GB scanned)</t>
  </si>
  <si>
    <t>qty × Unit cost</t>
  </si>
  <si>
    <t>One-time migration tool — $0.0125/GB for all data scanned</t>
  </si>
  <si>
    <t>Storage Gateway VM setup &amp; config (5 sites)</t>
  </si>
  <si>
    <t>Assumptions!C54 (number of sites)</t>
  </si>
  <si>
    <t>Estimated IT labor per site (internal cost)</t>
  </si>
  <si>
    <t>Install Gateway VM, configure NFS/SMB shares, test connectivity</t>
  </si>
  <si>
    <t>S3 bucket creation, lifecycle policies, tagging</t>
  </si>
  <si>
    <t>Fixed</t>
  </si>
  <si>
    <t>One-time AWS console/CLI setup</t>
  </si>
  <si>
    <t>5 buckets × 5 regions, lifecycle rules, Object Lock config</t>
  </si>
  <si>
    <t>IAM roles, policies, KMS key setup</t>
  </si>
  <si>
    <t>One-time security config</t>
  </si>
  <si>
    <t>Gateway IAM role, DataSync role, bucket policies, KMS CMKs</t>
  </si>
  <si>
    <t>Testing, validation &amp; UAT</t>
  </si>
  <si>
    <t>Internal resource time estimate</t>
  </si>
  <si>
    <t>Data integrity checks, retrieval tests, connector smoke tests</t>
  </si>
  <si>
    <t>HubStor subscription decommission &amp; contract mgmt</t>
  </si>
  <si>
    <t>Legal/admin for contract termination</t>
  </si>
  <si>
    <t>Notice period management, final data verification, sign-off</t>
  </si>
  <si>
    <t>SUBTOTAL — AWS SETUP COSTS</t>
  </si>
  <si>
    <t>SUM(F40:F45) — sum all setup costs</t>
  </si>
  <si>
    <t>TOTAL ONE-TIME MIGRATION COST — GRAND TOTAL SUMMARY</t>
  </si>
  <si>
    <t>Amount ($)</t>
  </si>
  <si>
    <t>1. Azure Retrieval Charges</t>
  </si>
  <si>
    <t>G12 (Component 1 subtotal)</t>
  </si>
  <si>
    <t>B50÷Grand Total</t>
  </si>
  <si>
    <t>2. Azure Egress Charges</t>
  </si>
  <si>
    <t>H19 (Component 2 subtotal)</t>
  </si>
  <si>
    <t>B51÷Grand Total</t>
  </si>
  <si>
    <t>3. AWS S3 PUT Requests</t>
  </si>
  <si>
    <t>H28 (Component 3 subtotal)</t>
  </si>
  <si>
    <t>B52÷Grand Total</t>
  </si>
  <si>
    <t>4. Lifecycle Transitions</t>
  </si>
  <si>
    <t>G33 — Component 4 Option A (=$0 if PUT directly)</t>
  </si>
  <si>
    <t>B53÷Grand Total</t>
  </si>
  <si>
    <t>5. AWS Setup &amp; Execution Costs</t>
  </si>
  <si>
    <t>F46 — Component 5 subtotal</t>
  </si>
  <si>
    <t>B54÷Grand Total</t>
  </si>
  <si>
    <t>Contingency (10%)</t>
  </si>
  <si>
    <t>SUM(B50:B54)×10% contingency buffer</t>
  </si>
  <si>
    <t>B55÷Grand Total</t>
  </si>
  <si>
    <t>★  GRAND TOTAL — ONE-TIME MIGRATION COST</t>
  </si>
  <si>
    <t>SUM(B50:B55) — all five components + contingency</t>
  </si>
  <si>
    <t>ROI &amp; PAYBACK ANALYSIS</t>
  </si>
  <si>
    <t>Metric</t>
  </si>
  <si>
    <t>Total One-Time Migration Cost</t>
  </si>
  <si>
    <t>Monthly Saving (HubStor - AWS Total/mo)</t>
  </si>
  <si>
    <t>Assumptions!C65 (HubStor monthly) minus Cost Comparison!B37 (AWS total) = true monthly saving</t>
  </si>
  <si>
    <t>Payback Period (months)</t>
  </si>
  <si>
    <t>(Migration cost + AWS overlap in Phase 1) ÷ monthly saving  =  true payback from Jan 2027</t>
  </si>
  <si>
    <t>Year 1 Net Saving (12mo saving - migration)</t>
  </si>
  <si>
    <t>(monthly saving × 12) - migration cost)</t>
  </si>
  <si>
    <t>4-Year Total Net Saving (Jan 2027–Dec 2030)</t>
  </si>
  <si>
    <t>(Monthly saving × 48 months) minus one-time migration cost = 4-year net saving</t>
  </si>
  <si>
    <t>RISKS &amp; ASSUMPTIONS — COMPLETE HUBSTOR + AZURE BLOB REPLACEMENT WITH AWS S3</t>
  </si>
  <si>
    <t>Must be reviewed and signed off before project commencement | Owner = Cloud Architecture Team</t>
  </si>
  <si>
    <t>KEY ASSUMPTIONS</t>
  </si>
  <si>
    <t>#</t>
  </si>
  <si>
    <t>Category</t>
  </si>
  <si>
    <t>Assumption</t>
  </si>
  <si>
    <t>Basis / Source</t>
  </si>
  <si>
    <t>If Wrong — Impact</t>
  </si>
  <si>
    <t>Owner</t>
  </si>
  <si>
    <t>Status</t>
  </si>
  <si>
    <t>A1</t>
  </si>
  <si>
    <t>Pricing</t>
  </si>
  <si>
    <t>AWS list pricing held flat for 3-year model</t>
  </si>
  <si>
    <t>AWS published list rates March 2026</t>
  </si>
  <si>
    <t>Costs could rise — actual savings may be lower</t>
  </si>
  <si>
    <t>Cloud Arch</t>
  </si>
  <si>
    <t>Confirmed</t>
  </si>
  <si>
    <t>A2</t>
  </si>
  <si>
    <t>HubStor non-storage fee = 34.3% of storage cost (=$9,068÷$26,455)</t>
  </si>
  <si>
    <t>Ratio may vary monthly — directionally correct</t>
  </si>
  <si>
    <t>Finance</t>
  </si>
  <si>
    <t>A3</t>
  </si>
  <si>
    <t>Azure egress billed at public internet rates (not VPN)</t>
  </si>
  <si>
    <t>Architecture decision — direct to S3 public endpoint</t>
  </si>
  <si>
    <t>VPN routing adds AWS transit cost ($0.02/GB) — adds ~$18K</t>
  </si>
  <si>
    <t>Decision required</t>
  </si>
  <si>
    <t>A4</t>
  </si>
  <si>
    <t>Data</t>
  </si>
  <si>
    <t>All 1,041.7 TiB migrated to AWS (no data deleted pre-migration)</t>
  </si>
  <si>
    <t>HubStor Master Report v5 — all stors migrated</t>
  </si>
  <si>
    <t>Smaller dataset = lower migration cost; larger = higher</t>
  </si>
  <si>
    <t>Programme Mgr</t>
  </si>
  <si>
    <t>TBC</t>
  </si>
  <si>
    <t>A5</t>
  </si>
  <si>
    <t>Archive avg file size = 500MB (PUT cost sensitivity)</t>
  </si>
  <si>
    <t>Assumed; actual could range 1MB-2GB (see sensitivity table)</t>
  </si>
  <si>
    <t>At 1MB avg: PUT cost rises by $45K; at 100MB: negligible</t>
  </si>
  <si>
    <t>Data Team</t>
  </si>
  <si>
    <t>Verify before migration</t>
  </si>
  <si>
    <t>5% annual data growth rate</t>
  </si>
  <si>
    <t>Conservative industry estimate for scientific archives</t>
  </si>
  <si>
    <t>Higher growth = higher AWS costs but also higher HubStor costs</t>
  </si>
  <si>
    <t>Architecture</t>
  </si>
  <si>
    <t>5 Storage Gateway VMs required (1 per major site)</t>
  </si>
  <si>
    <t>Site topology from Connector Details sheet — MWN, WLM, RNO, UK, EU</t>
  </si>
  <si>
    <t>More sites = higher EC2/EBS cost; fewer = simpler but single-site risk</t>
  </si>
  <si>
    <t>Review with sites</t>
  </si>
  <si>
    <t>File Gateway (NFS/SMB) replaces all HubStor connectors</t>
  </si>
  <si>
    <t>HubStor connector list has 17+ connectors — all routed via Gateway</t>
  </si>
  <si>
    <t>Connector incompatibility = custom integration effort</t>
  </si>
  <si>
    <t>App Teams</t>
  </si>
  <si>
    <t>Verify each connector</t>
  </si>
  <si>
    <t>Direct Connect NOT required — public internet sufficient</t>
  </si>
  <si>
    <t>Gateway uses HTTPS/TLS; adequate for archive workloads</t>
  </si>
  <si>
    <t>Bandwidth constraint at peak rehydration may slow retrieval</t>
  </si>
  <si>
    <t>Network Team</t>
  </si>
  <si>
    <t>Monitor in pilot</t>
  </si>
  <si>
    <t>Migration</t>
  </si>
  <si>
    <t>Archive rehydration takes 15hr per batch (Azure Standard priority)</t>
  </si>
  <si>
    <t>Azure documentation — Standard priority SLA</t>
  </si>
  <si>
    <t>Expedited priority ($0.03/GB extra) available if timeline too slow</t>
  </si>
  <si>
    <t>Plan buffer weeks 3-4</t>
  </si>
  <si>
    <t>DataSync used for US data; Rclone for EU (avoids AWS-specific tooling)</t>
  </si>
  <si>
    <t>Best practice for cross-cloud migration</t>
  </si>
  <si>
    <t>Tool failure = manual fallback; add 2-week buffer</t>
  </si>
  <si>
    <t>Migration Team</t>
  </si>
  <si>
    <t>Compliance</t>
  </si>
  <si>
    <t>S3 Object Lock (Compliance mode) used for GxP/regulated data</t>
  </si>
  <si>
    <t>GxP requirement — immutable storage for defined retention period</t>
  </si>
  <si>
    <t>Incorrect retention period = compliance violation</t>
  </si>
  <si>
    <t>QA/Regulatory</t>
  </si>
  <si>
    <t>Legal review required</t>
  </si>
  <si>
    <t>Data residency preserved — UK data stays in eu-west-2 (London)</t>
  </si>
  <si>
    <t>GDPR / UK data protection requirement</t>
  </si>
  <si>
    <t>Wrong region = regulatory breach</t>
  </si>
  <si>
    <t>Legal/Privacy</t>
  </si>
  <si>
    <t>Confirmed in architecture</t>
  </si>
  <si>
    <t>German data stays in eu-central-1 (Frankfurt)</t>
  </si>
  <si>
    <t>GDPR German data sovereignty requirement</t>
  </si>
  <si>
    <t>Commercial</t>
  </si>
  <si>
    <t>HubStor contract allows termination with 30-day notice</t>
  </si>
  <si>
    <t>Assumed standard SaaS terms — verify contract</t>
  </si>
  <si>
    <t>Longer notice = overlap billing period; add to migration cost</t>
  </si>
  <si>
    <t>Legal</t>
  </si>
  <si>
    <t>Verify contract ASAP</t>
  </si>
  <si>
    <t>Wasabi not selected — AWS chosen for S3 API compatibility and GxP compliance</t>
  </si>
  <si>
    <t>Technical decision</t>
  </si>
  <si>
    <t>Wasabi at $6.99/TB = slightly cheaper; recalculate if Wasabi selected</t>
  </si>
  <si>
    <t>Decision confirmed</t>
  </si>
  <si>
    <t>RISK REGISTER</t>
  </si>
  <si>
    <t>Risk Description</t>
  </si>
  <si>
    <t>Likelihood</t>
  </si>
  <si>
    <t>Impact</t>
  </si>
  <si>
    <t>Risk Score</t>
  </si>
  <si>
    <t>Mitigation</t>
  </si>
  <si>
    <t>Residual Risk</t>
  </si>
  <si>
    <t>R1</t>
  </si>
  <si>
    <t>Archive rehydration bottleneck — 882 TiB of Archive data requires up to 15hr rehydration per batch. Migration could take 8-12 weeks for archive tier alone, causing HubStor overlap billing.</t>
  </si>
  <si>
    <t>HIGH</t>
  </si>
  <si>
    <t>🔴 CRITICAL</t>
  </si>
  <si>
    <t>Start archive rehydration in Month 2 immediately. Run parallel batches. Budget for 2 months HubStor overlap (~$71K) in financial model.</t>
  </si>
  <si>
    <t>MEDIUM</t>
  </si>
  <si>
    <t>R2</t>
  </si>
  <si>
    <t>Azure egress cost overrun — Egress calculated at $64,645 but tiered pricing assumes linear volume. Actual rates depend on billing cycle timing.</t>
  </si>
  <si>
    <t>🟡 MODERATE</t>
  </si>
  <si>
    <t>Negotiate Azure egress credits for large migration. Pre-announce to Azure account team. Consider doing migration over 2-3 billing cycles to stay in lower tiers.</t>
  </si>
  <si>
    <t>LOW</t>
  </si>
  <si>
    <t>Cloud Arch / Azure Rep</t>
  </si>
  <si>
    <t>R3</t>
  </si>
  <si>
    <t>HubStor connector incompatibility — 17+ connectors across multiple sites may not work transparently with S3 File Gateway. DPI connectors (APO-PR-APP-*) may have custom metadata.</t>
  </si>
  <si>
    <t>🔴 HIGH</t>
  </si>
  <si>
    <t>Pilot one connector type per site in Month 2 before full migration. Test DPI connectors specifically. Have HubStor support on standby.</t>
  </si>
  <si>
    <t>App Teams / HubStor</t>
  </si>
  <si>
    <t>R4</t>
  </si>
  <si>
    <t>Data integrity loss during migration — File corruption or missing objects during Azure→S3 transfer.</t>
  </si>
  <si>
    <t>CRITICAL</t>
  </si>
  <si>
    <t>MD5/ETag checksums validated by DataSync. Run post-migration inventory compare (S3 Inventory vs HubStor report). Do NOT decommission HubStor until 100% verified.</t>
  </si>
  <si>
    <t>R5</t>
  </si>
  <si>
    <t>AWS Storage Gateway performance under load — Local cache (1TB EBS) may be insufficient for sites with high concurrent archive read requests.</t>
  </si>
  <si>
    <t>Monitor cache hit ratio from day 1. Increase EBS cache to 2TB if hit ratio &lt;80%. Pre-warm cache for frequently accessed data.</t>
  </si>
  <si>
    <t>R6</t>
  </si>
  <si>
    <t>Object Lock misconfiguration on GxP data — Incorrect retention period (too short or wrong mode) creates compliance gap.</t>
  </si>
  <si>
    <t>Legal/QA review of retention periods before bucket creation. Use Compliance mode (not Governance). Test with non-regulated data first.</t>
  </si>
  <si>
    <t>QA/Regulatory/Legal</t>
  </si>
  <si>
    <t>R7</t>
  </si>
  <si>
    <t>Cost model underestimation — AWS S3 Glacier Deep Archive retrieval fees may be higher than estimated if archive access is more frequent than 0.5%/month.</t>
  </si>
  <si>
    <t>Monitor S3 retrieval metrics in CloudWatch from Month 1. Set Cost Anomaly Detection alerts at 120% of budget. Review quarterly.</t>
  </si>
  <si>
    <t>Cloud Arch / Finance</t>
  </si>
  <si>
    <t>R8</t>
  </si>
  <si>
    <t>HubStor contract lock-in — Contract may require &gt;30 day notice or have early termination penalties.</t>
  </si>
  <si>
    <t>Review HubStor contract IMMEDIATELY. If &gt;30 day notice required, adjust timeline. Factor any penalties into migration cost.</t>
  </si>
  <si>
    <t>Legal / Finance</t>
  </si>
  <si>
    <t>R9</t>
  </si>
  <si>
    <t>EU data sovereignty breach — Data temporarily routed outside correct region during migration.</t>
  </si>
  <si>
    <t>Enforce bucket region from day 1 with SCP (Service Control Policy). No cross-region replication. Use AWS Config rule to alert on region violations.</t>
  </si>
  <si>
    <t>Cloud Arch / Legal</t>
  </si>
  <si>
    <t>R10</t>
  </si>
  <si>
    <t>Bandwidth saturation during migration — Simultaneous rehydration + egress from Azure may saturate site/DC internet links.</t>
  </si>
  <si>
    <t>Schedule migration transfers outside business hours. Set bandwidth limits in DataSync/Rclone. Start with smallest stor (RMS 914 GiB) as controlled pilot.</t>
  </si>
  <si>
    <t>6-MONTH MIGRATION PLAN — COMPLETE HUBSTOR → AWS S3 REPLACEMENT</t>
  </si>
  <si>
    <t>Phased approach: Pilot → US Regions → EU Regions → Cutover | Data residency preserved throughout | HubStor runs in parallel until Month 6</t>
  </si>
  <si>
    <t>PHASE OVERVIEW — TIMELINE AT A GLANCE</t>
  </si>
  <si>
    <t>Phase</t>
  </si>
  <si>
    <t>Description</t>
  </si>
  <si>
    <t>Month 1</t>
  </si>
  <si>
    <t>Month 2</t>
  </si>
  <si>
    <t>Month 3</t>
  </si>
  <si>
    <t>Month 4</t>
  </si>
  <si>
    <t>Month 5</t>
  </si>
  <si>
    <t>Month 6</t>
  </si>
  <si>
    <t>Key Milestone</t>
  </si>
  <si>
    <t>Budget Impact ($)</t>
  </si>
  <si>
    <t>Phase 0</t>
  </si>
  <si>
    <t>Foundation &amp; Procurement</t>
  </si>
  <si>
    <t>██████</t>
  </si>
  <si>
    <t>AWS accounts active, IAM ready, HubStor contract notice served</t>
  </si>
  <si>
    <t>Not started</t>
  </si>
  <si>
    <t>Phase 1</t>
  </si>
  <si>
    <t>Pilot Migration (RMS East US)</t>
  </si>
  <si>
    <t>RMS 914 GiB migrated; Gateway tested; data integrity verified</t>
  </si>
  <si>
    <t>~$500 AWS costs only</t>
  </si>
  <si>
    <t>Phase 2</t>
  </si>
  <si>
    <t>294 TiB US data migrated; US sites cut over to S3 Gateway</t>
  </si>
  <si>
    <t>Phase 3</t>
  </si>
  <si>
    <t>EU UK Region (UKSouth)</t>
  </si>
  <si>
    <t>374 TiB UK data migrated; UK sites cut over</t>
  </si>
  <si>
    <t>Phase 4</t>
  </si>
  <si>
    <t>EU Continent (WestEurope + Germany)</t>
  </si>
  <si>
    <t>398 TiB EU/DE data migrated; all EU sites cut over</t>
  </si>
  <si>
    <t>Phase 5</t>
  </si>
  <si>
    <t>Cutover, Decommission &amp; Optimisation</t>
  </si>
  <si>
    <t>HubStor subscription cancelled; zero Azure Blob spend</t>
  </si>
  <si>
    <t>First full month saving realised</t>
  </si>
  <si>
    <t>PHASE 0 — FOUNDATION &amp; PROCUREMENT  (Month 1: Weeks 1-4)</t>
  </si>
  <si>
    <t>Week</t>
  </si>
  <si>
    <t>Task</t>
  </si>
  <si>
    <t>Detail / Notes</t>
  </si>
  <si>
    <t>Success Criteria</t>
  </si>
  <si>
    <t>Week 1</t>
  </si>
  <si>
    <t>Review and serve HubStor contract termination notice (verify notice period)</t>
  </si>
  <si>
    <t>Notice period clock starts. If &gt;30 days, adjust plan.</t>
  </si>
  <si>
    <t>CONTRACT NOTICE SERVED</t>
  </si>
  <si>
    <t>AWS Setup</t>
  </si>
  <si>
    <t>Create AWS accounts per region (us-east-1, us-west-2, eu-west-2, eu-west-1, eu-central-1)</t>
  </si>
  <si>
    <t>5 AWS accounts or 1 org with SCPs per region</t>
  </si>
  <si>
    <t>Accounts active</t>
  </si>
  <si>
    <t>Configure IAM: DataSync role, Gateway role, S3 bucket policies, KMS CMKs (1 per region)</t>
  </si>
  <si>
    <t>All permissions least-privilege; tested with CLI</t>
  </si>
  <si>
    <t>IAM complete</t>
  </si>
  <si>
    <t>Week 2</t>
  </si>
  <si>
    <t>Create S3 buckets with naming convention, Object Lock (Compliance mode), versioning policy</t>
  </si>
  <si>
    <t>Bucket policy blocks public access; Object Lock enabled on GxP buckets</t>
  </si>
  <si>
    <t>Buckets created</t>
  </si>
  <si>
    <t>Configure S3 lifecycle rules: Archive→Glacier Deep Archive on upload; Cool→Standard-IA</t>
  </si>
  <si>
    <t>Lifecycle rules prevent objects landing in wrong tier</t>
  </si>
  <si>
    <t>Rules active</t>
  </si>
  <si>
    <t>Monitoring</t>
  </si>
  <si>
    <t>Deploy CloudWatch dashboards: cost, storage usage, Gateway health, DataSync job status</t>
  </si>
  <si>
    <t>Alerts configured for 120% budget threshold</t>
  </si>
  <si>
    <t>Dashboards live</t>
  </si>
  <si>
    <t>Week 3</t>
  </si>
  <si>
    <t>Network</t>
  </si>
  <si>
    <t>Gateway VM deployment — install on-prem at WLM (pilot site). Configure NFS/SMB share</t>
  </si>
  <si>
    <t>Network + Cloud</t>
  </si>
  <si>
    <t>VM: m5.xlarge compatible VM on-prem. Attach 1TB EBS cache. Test HTTPS to S3.</t>
  </si>
  <si>
    <t>WLM Gateway online</t>
  </si>
  <si>
    <t>Configure AWS VPC Gateway Endpoint for S3 (free — eliminates NAT Gateway fees if EC2 used)</t>
  </si>
  <si>
    <t>Endpoint policy restricts access to specific buckets</t>
  </si>
  <si>
    <t>VPC endpoint active</t>
  </si>
  <si>
    <t>Week 4</t>
  </si>
  <si>
    <t>Testing</t>
  </si>
  <si>
    <t>End-to-end connectivity test: write test file via Gateway → verify in S3 bucket → retrieve</t>
  </si>
  <si>
    <t>Checksum match confirms data integrity path</t>
  </si>
  <si>
    <t>E2E test PASSED</t>
  </si>
  <si>
    <t>Documentation</t>
  </si>
  <si>
    <t>Finalise migration runbook per site. DataSync job scripts prepared. Rollback plan documented</t>
  </si>
  <si>
    <t>Runbook peer-reviewed</t>
  </si>
  <si>
    <t>Runbook signed off</t>
  </si>
  <si>
    <t>PHASE 1 — PILOT MIGRATION: RMS EAST US FILES  (Month 2: ~914 GiB)</t>
  </si>
  <si>
    <t>Week 5</t>
  </si>
  <si>
    <t>Configure AWS DataSync: source=WLM-PR-FIL-05 Azure Blob, dest=S3 us-east-1 bucket</t>
  </si>
  <si>
    <t>3 DataSync tasks (3 connectors); --storage-class=STANDARD_IA for RMS data</t>
  </si>
  <si>
    <t>DataSync jobs configured</t>
  </si>
  <si>
    <t>Start DataSync transfer. Monitor CloudWatch for transfer rate, errors, throughput</t>
  </si>
  <si>
    <t>Expected: ~200GB/hr → 914 GiB ≈ 5 hours. Run overnight.</t>
  </si>
  <si>
    <t>Transfer started</t>
  </si>
  <si>
    <t>Week 6</t>
  </si>
  <si>
    <t>Validation</t>
  </si>
  <si>
    <t>Post-transfer: S3 Inventory report vs HubStor export — compare object counts and sizes</t>
  </si>
  <si>
    <t>100% object count match required before proceeding</t>
  </si>
  <si>
    <t>Integrity VERIFIED</t>
  </si>
  <si>
    <t>Retrieval test: retrieve 5 random files via S3 Gateway share. Verify content matches</t>
  </si>
  <si>
    <t>All 5 files open correctly; no corruption</t>
  </si>
  <si>
    <t>Retrieval PASSED</t>
  </si>
  <si>
    <t>Cutover</t>
  </si>
  <si>
    <t>Update WLM-RMS connector to point to S3 File Gateway NFS share (change target path only)</t>
  </si>
  <si>
    <t>App Teams / Network</t>
  </si>
  <si>
    <t>Connector writes to S3 from this point; reads via Gateway cache</t>
  </si>
  <si>
    <t>Connector switched</t>
  </si>
  <si>
    <t>Week 7</t>
  </si>
  <si>
    <t>Monitor RMS connector for 1 week: write speed, retrieval latency, error rate</t>
  </si>
  <si>
    <t>Target: &lt;5s for cached reads; &lt;30min for uncached archive fetch</t>
  </si>
  <si>
    <t>1-week soak PASS</t>
  </si>
  <si>
    <t>Week 8</t>
  </si>
  <si>
    <t>Review</t>
  </si>
  <si>
    <t>Pilot retrospective: document lessons, adjust runbook, confirm Phase 2 go/no-go</t>
  </si>
  <si>
    <t>Signed go/no-go decision gate</t>
  </si>
  <si>
    <t>GO/NO-GO DECISION</t>
  </si>
  <si>
    <t>PHASE 2 — US REGIONS: EastUS2 + WestUS2  (Month 3: ~294 TiB)</t>
  </si>
  <si>
    <t>Week 9</t>
  </si>
  <si>
    <t>Begin archive rehydration for Safety Assessment East US (119 TiB archive). Submit rehydration job.</t>
  </si>
  <si>
    <t>Azure Standard rehydration = up to 15hr. Batch by stor group.</t>
  </si>
  <si>
    <t>Rehydration started</t>
  </si>
  <si>
    <t>Deploy Gateway VM at MWN site (Safety Assessment). Configure connectors.</t>
  </si>
  <si>
    <t>Mirror WLM setup. Same EBS cache size. Test connectivity.</t>
  </si>
  <si>
    <t>MWN Gateway ready</t>
  </si>
  <si>
    <t>Deploy Gateway VM at RNO site (Safety Assessment West). Configure connectors.</t>
  </si>
  <si>
    <t>RNO covers WestUS2 data.</t>
  </si>
  <si>
    <t>RNO Gateway ready</t>
  </si>
  <si>
    <t>Week 10</t>
  </si>
  <si>
    <t>Start DataSync jobs: Microbial East US (25 TiB), RMS sub-stores remaining</t>
  </si>
  <si>
    <t>Run overnight. Monitor DataSync CloudWatch dashboard.</t>
  </si>
  <si>
    <t>Microbial migrated</t>
  </si>
  <si>
    <t>Start DataSync jobs: Safety Assessment East US (after rehydration completes)</t>
  </si>
  <si>
    <t>122 TiB total. Largest US store. May take 2-3 nights.</t>
  </si>
  <si>
    <t>SA East migrated</t>
  </si>
  <si>
    <t>Week 11</t>
  </si>
  <si>
    <t>Start DataSync jobs: Safety Assessment West US (72 TiB WestUS2 data)</t>
  </si>
  <si>
    <t>RNO connector data. Run over 2 nights.</t>
  </si>
  <si>
    <t>SA West migrated</t>
  </si>
  <si>
    <t>S3 Inventory cross-check for all US stores. Fix any gaps.</t>
  </si>
  <si>
    <t>Zero discrepancy required</t>
  </si>
  <si>
    <t>US inventory matched</t>
  </si>
  <si>
    <t>Week 12</t>
  </si>
  <si>
    <t>Switch all US site connectors to S3 Gateway. Disable Azure write access to US Blob containers.</t>
  </si>
  <si>
    <t>Connectors: APO-PR-APP-02 to 09, MWN-PR-FIL-01, WLM-PR-FIL-05</t>
  </si>
  <si>
    <t>US sites LIVE on S3</t>
  </si>
  <si>
    <t>PHASE 3 — EU UK: UKSouth  (Month 4: ~374 TiB)</t>
  </si>
  <si>
    <t>Week 13</t>
  </si>
  <si>
    <t>Deploy Gateway VM in UK DC (PTH/Portishead or EDI/Edinburgh). Configure eu-west-2 bucket.</t>
  </si>
  <si>
    <t>UK data must stay in eu-west-2 (London). Enforce with SCP.</t>
  </si>
  <si>
    <t>UK Gateway ready</t>
  </si>
  <si>
    <t>Begin Early Discovery UK rehydration (242 TiB archive in UKSouth — largest single store)</t>
  </si>
  <si>
    <t>Submit Azure rehydration. Expect 15-20 hours. Plan 2-3 day window.</t>
  </si>
  <si>
    <t>Rehydration queued</t>
  </si>
  <si>
    <t>Week 14</t>
  </si>
  <si>
    <t>Start DataSync: Portishead Discovery (26 TiB). Run overnight.</t>
  </si>
  <si>
    <t>PTH-Discovery connector data.</t>
  </si>
  <si>
    <t>PTH migrated</t>
  </si>
  <si>
    <t>Start DataSync: Safety Assessment UK (525 GiB). Quick transfer.</t>
  </si>
  <si>
    <t>EDI-SafetyAssessment — small store.</t>
  </si>
  <si>
    <t>EDI migrated</t>
  </si>
  <si>
    <t>Week 15</t>
  </si>
  <si>
    <t>Start DataSync: Early Discovery UK (325 TiB total after rehydration)</t>
  </si>
  <si>
    <t>Largest EU store. Will take 3-4 nights. CRP (325 TiB) + HAR (17 TiB).</t>
  </si>
  <si>
    <t>UK Early Discovery migrated</t>
  </si>
  <si>
    <t>Week 16</t>
  </si>
  <si>
    <t>UK S3 Inventory cross-check. Validate Object Lock applied to regulated data.</t>
  </si>
  <si>
    <t>Migration + QA</t>
  </si>
  <si>
    <t>QA sign-off required for GxP stores</t>
  </si>
  <si>
    <t>UK inventory + GxP PASS</t>
  </si>
  <si>
    <t>Switch UK connectors to S3 Gateway. Verify GDPR data residency in eu-west-2.</t>
  </si>
  <si>
    <t>App Teams / Legal</t>
  </si>
  <si>
    <t>Connectors: APO-PR-APP-03,04,11,12,14; MWN-PR-FIL-01</t>
  </si>
  <si>
    <t>UK LIVE on S3</t>
  </si>
  <si>
    <t>PHASE 4 — EU CONTINENT: WestEurope + GermanyWestCentral  (Month 5: ~398 TiB)</t>
  </si>
  <si>
    <t>Week 17</t>
  </si>
  <si>
    <t>Deploy Gateway VMs: Leiden NL (LEI) → eu-west-1 bucket; Freiburg DE (FRI) → eu-central-1</t>
  </si>
  <si>
    <t>German data MUST use eu-central-1 (Frankfurt). SCP enforced.</t>
  </si>
  <si>
    <t>EU/DE Gateways ready</t>
  </si>
  <si>
    <t>Begin Early Discovery NL rehydration (258 TiB archive). Submit to Azure.</t>
  </si>
  <si>
    <t>WestEurope LEI-EarlyDiscovery. Largest EU store.</t>
  </si>
  <si>
    <t>NL rehydration queued</t>
  </si>
  <si>
    <t>Week 18</t>
  </si>
  <si>
    <t>Start DataSync: Discovery NL (3.9 TiB), Safety Assessment NL (18 TiB), Discovery HU (35 GiB)</t>
  </si>
  <si>
    <t>Smaller stores first. Validate before tackling large NL store.</t>
  </si>
  <si>
    <t>Small EU stores migrated</t>
  </si>
  <si>
    <t>Start DataSync: Discovery DE (49 TiB into eu-central-1/Frankfurt)</t>
  </si>
  <si>
    <t>FRI-Discovery. German data stays in DE. Validate region after.</t>
  </si>
  <si>
    <t>DE migrated</t>
  </si>
  <si>
    <t>Week 19</t>
  </si>
  <si>
    <t>Start DataSync: Discovery FI (38 TiB into eu-west-1)</t>
  </si>
  <si>
    <t>KUO-Discovery. Finnish data via Amsterdam region.</t>
  </si>
  <si>
    <t>FI migrated</t>
  </si>
  <si>
    <t>Start DataSync: Early Discovery NL (286 TiB after rehydration)</t>
  </si>
  <si>
    <t>Biggest EU migration. Run over 4-5 nights.</t>
  </si>
  <si>
    <t>NL Early Discovery migrated</t>
  </si>
  <si>
    <t>Week 20</t>
  </si>
  <si>
    <t>Full EU inventory cross-check. German data residency confirmed. FR/NL/FI/HU data in eu-west-1.</t>
  </si>
  <si>
    <t>Migration + Legal</t>
  </si>
  <si>
    <t>Data residency audit report produced</t>
  </si>
  <si>
    <t>EU inventory + residency PASS</t>
  </si>
  <si>
    <t>Switch all EU connectors to S3 Gateway. Disable Azure EU Blob write access.</t>
  </si>
  <si>
    <t>All APO and FIL connectors for EU sites</t>
  </si>
  <si>
    <t>ALL EU LIVE on S3</t>
  </si>
  <si>
    <t>PHASE 5 — CUTOVER, DECOMMISSION &amp; OPTIMISATION  (Month 6)</t>
  </si>
  <si>
    <t>Week 21</t>
  </si>
  <si>
    <t>Final validation: all sites reading/writing from S3 for 2 weeks. Zero Azure Blob writes.</t>
  </si>
  <si>
    <t>CloudWatch confirms 0 bytes written to Azure</t>
  </si>
  <si>
    <t>Zero-Azure confirmed</t>
  </si>
  <si>
    <t>Run full S3 Inventory vs original HubStor Master Report — final count match</t>
  </si>
  <si>
    <t>100% object count and size match required</t>
  </si>
  <si>
    <t>FINAL INTEGRITY PASS</t>
  </si>
  <si>
    <t>Submit HubStor subscription cancellation. Provide data deletion confirmation if required.</t>
  </si>
  <si>
    <t>Finance / Legal</t>
  </si>
  <si>
    <t>Contract termination executed. Confirm no auto-renewal.</t>
  </si>
  <si>
    <t>HubStor CANCELLED</t>
  </si>
  <si>
    <t>Week 22</t>
  </si>
  <si>
    <t>Terminate Azure Blob Storage accounts (all 5 regions). Download final invoices.</t>
  </si>
  <si>
    <t>Finance / Cloud Arch</t>
  </si>
  <si>
    <t>Azure cost stops. Final invoice received.</t>
  </si>
  <si>
    <t>Azure Blob TERMINATED</t>
  </si>
  <si>
    <t>Optimisation</t>
  </si>
  <si>
    <t>Enable S3 Storage Lens — review storage efficiency, lifecycle policy effectiveness</t>
  </si>
  <si>
    <t>Identify any objects in wrong tier; fix lifecycle rules</t>
  </si>
  <si>
    <t>Storage Lens active</t>
  </si>
  <si>
    <t>Enable Cost Anomaly Detection — alert if AWS bill exceeds $X,000</t>
  </si>
  <si>
    <t>Anomaly detector configured; tested with manual trigger</t>
  </si>
  <si>
    <t>Cost alerts live</t>
  </si>
  <si>
    <t>Week 23</t>
  </si>
  <si>
    <t>First clean month: AWS-only bill. Reconcile vs cost model. Report actual vs projected saving.</t>
  </si>
  <si>
    <t>Report to stakeholders: actual vs $30,961 monthly saving target</t>
  </si>
  <si>
    <t>Month 1 saving report</t>
  </si>
  <si>
    <t>Week 24</t>
  </si>
  <si>
    <t>Closeout</t>
  </si>
  <si>
    <t>Migration project retrospective. Update runbooks. Archive project docs. Celebrate! 🎉</t>
  </si>
  <si>
    <t>Lessons learned documented; team recognised</t>
  </si>
  <si>
    <t>PROJECT CLOSED</t>
  </si>
  <si>
    <t>FINANCIAL MODEL — Jun 2026 to Dec 2030  |  Migration Period + 4-Year AWS TCO</t>
  </si>
  <si>
    <t>Jul 1 – Dec 31 2026: RAMPED migration — AWS grows as gateways come online, migration cost distributed by activity type  |  HubStor reduces from Oct as Azure regions deleted  |  Jan 2027–Dec 2030: AWS only</t>
  </si>
  <si>
    <t>MODEL INPUTS — all linked to Assumptions &amp; Cost Comparison (change values there)</t>
  </si>
  <si>
    <t>HubStor + Azure monthly cost (current actuals)</t>
  </si>
  <si>
    <t>AWS Total monthly — storage + Gateway appliance + all infra</t>
  </si>
  <si>
    <t>One-time migration cost (total)</t>
  </si>
  <si>
    <t>Annual data growth rate (applied from 2028 onwards)</t>
  </si>
  <si>
    <t>Monthly saving once fully on AWS  (B5 − B6)</t>
  </si>
  <si>
    <t>Migration period (months: Jun–Dec 2026)</t>
  </si>
  <si>
    <t>AWS costs already paid during migration overlap (Jul–Dec 2026)</t>
  </si>
  <si>
    <t>Sum of AWS ramp-up costs during migration (Jul–Dec). These must also be recovered from savings.</t>
  </si>
  <si>
    <t>Payback — months from Jan 2027  (migration cost + AWS overlap ÷ monthly saving)</t>
  </si>
  <si>
    <t>PHASE 1 — MIGRATION PERIOD  (Jul 1, 2026 – Dec 31, 2026)  | AWS ramps up month by month  |  HubStor steps down as Azure regions deleted from Oct</t>
  </si>
  <si>
    <t>Migration cost distributed across 6 months by activity: data-transfer costs follow the data ramp  |  gateway installs match each site go-live  |  testing &amp; decommission back-loaded to Nov–Dec</t>
  </si>
  <si>
    <t>Calendar Month</t>
  </si>
  <si>
    <t>HubStor + Azure ($)
[ramps ↓ from Oct]</t>
  </si>
  <si>
    <t>AWS Total ($)
[ramps ↑ all 6 months]</t>
  </si>
  <si>
    <t>Combined Spend ($)</t>
  </si>
  <si>
    <t>Migration Cost ($)
[distributed by activity]</t>
  </si>
  <si>
    <t>Migration Cost — What's included</t>
  </si>
  <si>
    <t>Net Cumulative
Saving ($)</t>
  </si>
  <si>
    <t>Jul 2026</t>
  </si>
  <si>
    <t>AWS: 1 gateway online (US-East). 20% of data migrated to S3.  ///  Mig cost: S3/IAM setup + DataSync: 20% of data transfer costs + US-East gateway install</t>
  </si>
  <si>
    <t>Aug 2026</t>
  </si>
  <si>
    <t>AWS: 2 gateways live (US-East + US-West). 35% migrated.  ///  Mig cost: DataSync: 15% of data transfer costs + US-West gateway install</t>
  </si>
  <si>
    <t>Sep 2026</t>
  </si>
  <si>
    <t>AWS: 3 gateways live (US + UK). 60% migrated.  ///  Mig cost: DataSync: 25% of data transfer costs (largest batch — UK 374 TiB) + UK gateway install</t>
  </si>
  <si>
    <t>Oct 2026</t>
  </si>
  <si>
    <t>AWS: 4 gateways live (US + UK + EU-NL). 80% migrated.  ///  Mig cost: DataSync: 20% of data transfer costs + EU-NL gateway install + testing starts</t>
  </si>
  <si>
    <t>Nov 2026</t>
  </si>
  <si>
    <t>AWS: All 5 gateways at full capacity. 98% migrated.  ///  Mig cost: DataSync: 12% of data transfer costs + EU-DE gateway install + testing</t>
  </si>
  <si>
    <t>Dec 2026</t>
  </si>
  <si>
    <t>Final 8% data costs + testing/validation + HubStor decommission ($2,200)</t>
  </si>
  <si>
    <t>6 mo</t>
  </si>
  <si>
    <t>MIGRATION TOTAL  Jul–Dec 2026</t>
  </si>
  <si>
    <t>↑ Total investment = migration cost ($121,370) + AWS overlap ($24,791) = $146,161  |  Payback ~5 months from Jan 2027  ≈  Jun 2027</t>
  </si>
  <si>
    <t>Migration cost breakdown:  Jul $24,054 (setup+20% data)  |  Aug $17,353 (15% data)  |  Sep $28,555 (25% data — UK batch)  |  Oct $23,284 (20% data)  |  Nov $14,982 (12% data+testing)  |  Dec $13,142 (8% data+decomm)  →  Total = $121,370</t>
  </si>
  <si>
    <t>PHASE 2 — AWS ONLY  (Jan 2027 – Dec 2030)  |  HubStor fully terminated.  Azure Blob = $0.  Pure AWS spend.</t>
  </si>
  <si>
    <t>AWS storage grows with data volume: 5% per year from 2028. Column E = monthly saving vs old HubStor baseline ($35,523). Column H = running net cumulative saving carried forward from Dec 2026.</t>
  </si>
  <si>
    <t>HubStor + Azure ($)
[= $0 from Jan 2027]</t>
  </si>
  <si>
    <t>AWS Total ($)</t>
  </si>
  <si>
    <t>Monthly Saving vs HubStor ($)</t>
  </si>
  <si>
    <t>Cumul. Saving since Jan 2027 ($)</t>
  </si>
  <si>
    <t>—</t>
  </si>
  <si>
    <t>Net Cumulative Saving ($)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</si>
  <si>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</si>
  <si>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</si>
  <si>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</si>
  <si>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</si>
  <si>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</si>
  <si>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</si>
  <si>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</si>
  <si>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</si>
  <si>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</si>
  <si>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</si>
  <si>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</si>
  <si>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</si>
  <si>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</si>
  <si>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</si>
  <si>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</si>
  <si>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</si>
  <si>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</si>
  <si>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</si>
  <si>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</si>
  <si>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</si>
  <si>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</si>
  <si>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</si>
  <si>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</si>
  <si>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</si>
  <si>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Jan 2029</t>
  </si>
  <si>
    <t>Feb 2029</t>
  </si>
  <si>
    <t>Mar 2029</t>
  </si>
  <si>
    <t>Apr 2029</t>
  </si>
  <si>
    <t>May 2029</t>
  </si>
  <si>
    <t>Jun 2029</t>
  </si>
  <si>
    <t>Jul 2029</t>
  </si>
  <si>
    <t>Aug 2029</t>
  </si>
  <si>
    <t>Sep 2029</t>
  </si>
  <si>
    <t>Oct 2029</t>
  </si>
  <si>
    <t>Nov 2029</t>
  </si>
  <si>
    <t>Dec 2029</t>
  </si>
  <si>
    <t>Jan 2030</t>
  </si>
  <si>
    <t>Feb 2030</t>
  </si>
  <si>
    <t>Mar 2030</t>
  </si>
  <si>
    <t>Apr 2030</t>
  </si>
  <si>
    <t>May 2030</t>
  </si>
  <si>
    <t>Jun 2030</t>
  </si>
  <si>
    <t>Jul 2030</t>
  </si>
  <si>
    <t>Aug 2030</t>
  </si>
  <si>
    <t>Sep 2030</t>
  </si>
  <si>
    <t>Oct 2030</t>
  </si>
  <si>
    <t>Nov 2030</t>
  </si>
  <si>
    <t>ANNUAL SUMMARY</t>
  </si>
  <si>
    <t>Period</t>
  </si>
  <si>
    <t>Calendar Year</t>
  </si>
  <si>
    <t>HubStor + Azure ($)</t>
  </si>
  <si>
    <t>Gross Saving ($)</t>
  </si>
  <si>
    <t>Migration / One-time ($)</t>
  </si>
  <si>
    <t>Net Saving ($)</t>
  </si>
  <si>
    <t>Cumul. Net Saving ($)</t>
  </si>
  <si>
    <t>Jul–Dec 2026 (migration)</t>
  </si>
  <si>
    <t>-</t>
  </si>
  <si>
    <t>Year 1</t>
  </si>
  <si>
    <t>Jan–Dec 2027</t>
  </si>
  <si>
    <t>Year 2</t>
  </si>
  <si>
    <t>Jan–Dec 2028</t>
  </si>
  <si>
    <t>Year 3</t>
  </si>
  <si>
    <t>Jan–Dec 2029</t>
  </si>
  <si>
    <t>Year 4</t>
  </si>
  <si>
    <t>Jan–Dec 2030</t>
  </si>
  <si>
    <t>Jun 2026 – Dec 2030</t>
  </si>
  <si>
    <t>AWS S3 TARGET ARCHITECTURE — CONNECTIVITY &amp; ACCESS DESIGN</t>
  </si>
  <si>
    <t>Full HubStor replacement | S3 File Gateway replaces all HubStor connectors | Data residency preserved per region</t>
  </si>
  <si>
    <t>STORAGE GATEWAY — HOW SITES CONNECT TO S3 (replaces HubStor connector agents)</t>
  </si>
  <si>
    <t>Pattern</t>
  </si>
  <si>
    <t>AWS S3 File Gateway (NFS/SMB shares) → replaces every HubStor connector agent at each site. S3-compatible. No application changes needed.</t>
  </si>
  <si>
    <t>What it is</t>
  </si>
  <si>
    <t>A VM (VMware / Hyper-V / KVM) deployed on-prem at each site. Presents NFS or SMB shares to local applications. Data written to shares is automatically uploaded to S3 as objects with compression and encryption.</t>
  </si>
  <si>
    <t>Archiving flow</t>
  </si>
  <si>
    <t>Application saves file → File Gateway share → Gateway caches locally → Compresses &amp; uploads to S3 bucket (correct storage class via lifecycle rule) → File stays accessible via share (cached read).</t>
  </si>
  <si>
    <t>Retrieval flow</t>
  </si>
  <si>
    <t>User requests file from Gateway share → Gateway checks local 1TB EBS cache → If cached: instant return → If not cached: fetches from S3 (Standard-IA: ms; Glacier IR: ms; Deep Archive: restore first ~12-48hr) → Returns file.</t>
  </si>
  <si>
    <t>Sites &amp; VMs</t>
  </si>
  <si>
    <t>5 Gateway VMs required:
• WLM (EastUS2) → us-east-1
• RNO (WestUS2) → us-west-2
• UK sites (UKSouth) → eu-west-2
• NL/EU sites (WestEurope) → eu-west-1
• DE site (GermanyWestCentral) → eu-central-1</t>
  </si>
  <si>
    <t>HubStor connectors replaced</t>
  </si>
  <si>
    <t>All 17+ DPI connectors (APO-PR-APP-*), NAS connectors (MWN-PR-FIL-01, WLM-PR-FIL-05), and test connectors replaced by gateway shares. One Gateway per site serves all connectors at that site.</t>
  </si>
  <si>
    <t>Migration tool</t>
  </si>
  <si>
    <t>AWS DataSync for bulk one-time migration (Azure Blob → S3). DataSync handles checksums, retry, parallelism. Post-migration: Gateway handles all incremental writes; DataSync not needed.</t>
  </si>
  <si>
    <t>S3 BUCKET STRATEGY</t>
  </si>
  <si>
    <t>Bucket per region (5 buckets)</t>
  </si>
  <si>
    <t>us-east-1: company-archive-us-east / us-west-2: company-archive-us-west / eu-west-2: company-archive-uk / eu-west-1: company-archive-eu / eu-central-1: company-archive-de</t>
  </si>
  <si>
    <t>Prefix / key structure</t>
  </si>
  <si>
    <t>s3://company-archive-{region}/{site-code}/{stor-name}/{year}/{month}/{filename}  e.g., s3://company-archive-uk/CRP/EarlyDiscovery/2024/03/sample.raw</t>
  </si>
  <si>
    <t>Storage class mapping</t>
  </si>
  <si>
    <t>Standard/Hot → S3 Standard | Cool → S3 Standard-IA (lifecycle Day 0) | Cold → S3 Glacier Instant Retrieval | Archive → S3 Glacier Deep Archive (PUT directly via --storage-class)</t>
  </si>
  <si>
    <t>Lifecycle rules</t>
  </si>
  <si>
    <t>Lifecycle rule 1: Objects with tag tier=cool → Standard-IA immediately. Rule 2: Objects with tag tier=archive → Glacier Deep Archive immediately. Rule 3: Incomplete multipart uploads → abort after 7 days.</t>
  </si>
  <si>
    <t>Object Lock (GxP data)</t>
  </si>
  <si>
    <t>Enable S3 Object Lock in Compliance mode on buckets holding GxP-regulated data (Safety Assessment, Microbial). Retention period = defined by QA/Regulatory team. Objects cannot be deleted or modified during retention.</t>
  </si>
  <si>
    <t>Versioning</t>
  </si>
  <si>
    <t>Enable ONLY on compliance/GxP buckets. Do NOT enable on pure archive buckets (versioning doubles storage cost for every overwrite).</t>
  </si>
  <si>
    <t>Encryption</t>
  </si>
  <si>
    <t>SSE-S3 (AES-256) at zero extra cost as baseline. Upgrade to SSE-KMS for GxP data requiring audit trail of key access. 1 KMS CMK per region = $5/month total.</t>
  </si>
  <si>
    <t>VPC Gateway Endpoint</t>
  </si>
  <si>
    <t>Deploy free S3 VPC Gateway Endpoint in each AWS region to route S3 traffic within AWS backbone — eliminates NAT Gateway data processing charges if any EC2-based processing is added later.</t>
  </si>
  <si>
    <t>CONNECTIVITY OPTIONS</t>
  </si>
  <si>
    <t>Option A — HTTPS/TLS (Recommended, chosen for this design)</t>
  </si>
  <si>
    <t>Gateway VM uploads to S3 public endpoint over port 443 (HTTPS). Data is encrypted in transit (TLS 1.2+). No additional cost. All current sites have reliable internet. This is the chosen architecture.</t>
  </si>
  <si>
    <t>Option B — AWS Site-to-Site VPN (optional add-on)</t>
  </si>
  <si>
    <t>~$0.05/hr per VPN connection = $36/mo. Use if security policy requires private connectivity. Can be added after cutover. Transit cost ~$0.01/GB within AWS. NOT required for launch.</t>
  </si>
  <si>
    <t>Option C — AWS Direct Connect (optional premium)</t>
  </si>
  <si>
    <t>Dedicated 1Gbps circuit ~$200-500/mo port cost. Use only if bandwidth becomes a demonstrated bottleneck after 3 months on Option A. Overkill for archive workloads.</t>
  </si>
  <si>
    <t>Launch with Option A. Monitor Gateway CloudWatch metric WriteBytesPerSecond. If consistently &gt;50MB/s sustained and latency is causing issues, evaluate Option B as next step.</t>
  </si>
  <si>
    <t>REGION MAPPING — AZURE → AWS (data residency preserved)</t>
  </si>
  <si>
    <t>Azure EastUS2 (Virginia, USA)</t>
  </si>
  <si>
    <t>→  AWS us-east-1 (N. Virginia)  |  Sites: MWN, WLM  |  Safety Assessment East, Microbial, RMS</t>
  </si>
  <si>
    <t>Azure WestUS2 (Washington, USA)</t>
  </si>
  <si>
    <t>→  AWS us-west-2 (Oregon)       |  Sites: RNO  |  Safety Assessment West</t>
  </si>
  <si>
    <t>Azure UKSouth (London, UK)</t>
  </si>
  <si>
    <t>→  AWS eu-west-2 (London)       |  Sites: CRP, HAR, PTH, EDI  |  UK data stays in UK ✓</t>
  </si>
  <si>
    <t>Azure WestEurope (Amsterdam, NL)</t>
  </si>
  <si>
    <t>→  AWS eu-west-1 (Ireland)      |  Sites: LEI, HER, GRO, KUO, SZG, FRE, LYO, EVR  |  EU data stays in EU ✓</t>
  </si>
  <si>
    <t>Azure GermanyWestCentral (Frankfurt)</t>
  </si>
  <si>
    <t>→  AWS eu-central-1 (Frankfurt) |  Sites: FRI  |  German data stays in Germany (GDPR) ✓</t>
  </si>
  <si>
    <t>GDPR / Data Sovereignty</t>
  </si>
  <si>
    <t>No data crosses borders. UK data: eu-west-2 (London). German data: eu-central-1 (Frankfurt). All EU data in EU. S3 bucket region is enforced by SCP (Service Control Policy) blocking bucket creation in wrong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</si>
</sst>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0.0000"/>
    <numFmt numFmtId="165" formatCode="\$0.0000"/>
    <numFmt numFmtId="166" formatCode="0.0%"/>
    <numFmt numFmtId="167" formatCode="\$#,##0"/>
    <numFmt numFmtId="168" formatCode="\$#,##0.00"/>
    <numFmt numFmtId="169" formatCode="\$0.00000"/>
    <numFmt numFmtId="170" formatCode="[$$-409]#,##0.00;[Red]\-[$$-409]#,##0.00"/>
    <numFmt numFmtId="171" formatCode="\$0.000"/>
    <numFmt numFmtId="172" formatCode="0.0"/>
  </numFmts>
  <fonts count="3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666666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595959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8"/>
      <color rgb="FF555555"/>
      <name val="Arial"/>
      <charset val="1"/>
    </font>
    <font>
      <b/>
      <sz val="17"/>
      <color rgb="FF1F3864"/>
      <name val="Arial"/>
      <charset val="1"/>
    </font>
    <font>
      <b/>
      <sz val="17"/>
      <color rgb="FF375623"/>
      <name val="Arial"/>
      <charset val="1"/>
    </font>
    <font>
      <b/>
      <sz val="17"/>
      <color rgb="FF843C0C"/>
      <name val="Arial"/>
      <charset val="1"/>
    </font>
    <font>
      <b/>
      <sz val="17"/>
      <color rgb="FF7030A0"/>
      <name val="Arial"/>
      <charset val="1"/>
    </font>
    <font>
      <sz val="8"/>
      <color rgb="FF444444"/>
      <name val="Arial"/>
      <charset val="1"/>
    </font>
    <font>
      <sz val="8"/>
      <color rgb="FF888888"/>
      <name val="Arial"/>
      <charset val="1"/>
    </font>
    <font>
      <b/>
      <sz val="8"/>
      <color rgb="FFFFFFFF"/>
      <name val="Arial"/>
      <charset val="1"/>
    </font>
    <font>
      <b/>
      <sz val="11"/>
      <color rgb="FFFFFFFF"/>
      <name val="Arial"/>
      <charset val="1"/>
    </font>
    <font>
      <i/>
      <sz val="8"/>
      <color rgb="FF444444"/>
      <name val="Arial"/>
      <charset val="1"/>
    </font>
    <font>
      <b/>
      <sz val="11"/>
      <color rgb="FFFFFF00"/>
      <name val="Arial"/>
      <charset val="1"/>
    </font>
    <font>
      <b/>
      <sz val="13"/>
      <color rgb="FFFFFF00"/>
      <name val="Arial"/>
      <charset val="1"/>
    </font>
    <font>
      <b/>
      <sz val="9"/>
      <color rgb="FF375623"/>
      <name val="Arial"/>
      <charset val="1"/>
    </font>
    <font>
      <sz val="8"/>
      <color rgb="FF375623"/>
      <name val="Arial"/>
      <charset val="1"/>
    </font>
    <font>
      <sz val="8"/>
      <color rgb="FFC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14"/>
      <color rgb="FF375623"/>
      <name val="Arial"/>
      <charset val="1"/>
    </font>
    <font>
      <b/>
      <sz val="14"/>
      <color rgb="FFFFFFFF"/>
      <name val="Arial"/>
      <charset val="1"/>
    </font>
    <font>
      <b/>
      <sz val="8"/>
      <color rgb="FF1F3864"/>
      <name val="Arial"/>
      <charset val="1"/>
    </font>
    <font>
      <b/>
      <sz val="9"/>
      <color rgb="FF888888"/>
      <name val="Arial"/>
      <charset val="1"/>
    </font>
    <font>
      <b/>
      <sz val="9"/>
      <color rgb="FF8B0000"/>
      <name val="Arial"/>
      <charset val="1"/>
    </font>
    <font>
      <sz val="8"/>
      <color rgb="FF333333"/>
      <name val="Arial"/>
      <charset val="1"/>
    </font>
    <font>
      <sz val="9"/>
      <color rgb="FFC00000"/>
      <name val="Arial"/>
      <charset val="1"/>
    </font>
    <font>
      <b/>
      <sz val="9"/>
      <color rgb="FFC00000"/>
      <name val="Arial"/>
      <charset val="1"/>
    </font>
    <font>
      <b/>
      <sz val="10"/>
      <color rgb="FFFFFF00"/>
      <name val="Arial"/>
      <charset val="1"/>
    </font>
    <font>
      <sz val="9"/>
      <color rgb="FF375623"/>
      <name val="Arial"/>
      <charset val="1"/>
    </font>
    <font>
      <b/>
      <sz val="9"/>
      <color rgb="FFFFFF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F5496"/>
      </patternFill>
    </fill>
    <fill>
      <patternFill patternType="solid">
        <fgColor rgb="FFD6E4F7"/>
        <bgColor rgb="FFEDE7F6"/>
      </patternFill>
    </fill>
    <fill>
      <patternFill patternType="solid">
        <fgColor rgb="FFF2F2F2"/>
        <bgColor rgb="FFEDE7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DE7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B0000"/>
      </patternFill>
    </fill>
    <fill>
      <patternFill patternType="solid">
        <fgColor rgb="FFFFE0E0"/>
        <bgColor rgb="FFFCE4D6"/>
      </patternFill>
    </fill>
    <fill>
      <patternFill patternType="solid">
        <fgColor rgb="FF375623"/>
        <bgColor rgb="FF444444"/>
      </patternFill>
    </fill>
    <fill>
      <patternFill patternType="solid">
        <fgColor rgb="FF843C0C"/>
        <bgColor rgb="FF444444"/>
      </patternFill>
    </fill>
    <fill>
      <patternFill patternType="solid">
        <fgColor rgb="FF7030A0"/>
        <bgColor rgb="FF800080"/>
      </patternFill>
    </fill>
    <fill>
      <patternFill patternType="solid">
        <fgColor rgb="FFFCE4D6"/>
        <bgColor rgb="FFFFE0E0"/>
      </patternFill>
    </fill>
    <fill>
      <patternFill patternType="solid">
        <fgColor rgb="FFEDE7F6"/>
        <bgColor rgb="FFF2F2F2"/>
      </patternFill>
    </fill>
    <fill>
      <patternFill patternType="solid">
        <fgColor rgb="FFFFF2CC"/>
        <bgColor rgb="FFFFF0E0"/>
      </patternFill>
    </fill>
    <fill>
      <patternFill patternType="solid">
        <fgColor rgb="FFFFFDE7"/>
        <bgColor rgb="FFFFFFFF"/>
      </patternFill>
    </fill>
    <fill>
      <patternFill patternType="solid">
        <fgColor rgb="FFFFF0E0"/>
        <bgColor rgb="FFFFF2CC"/>
      </patternFill>
    </fill>
  </fills>
  <borders count="8">
    <border>
      <left/>
      <right/>
      <top/>
      <bottom/>
      <diagonal/>
    </border>
    <border>
      <left style="medium">
        <color rgb="FF2F5496"/>
      </left>
      <right/>
      <top style="medium">
        <color rgb="FF2F5496"/>
      </top>
      <bottom style="medium">
        <color rgb="FF2F549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8">
    <xf numFmtId="0" fontId="0" fillId="0" borderId="0" xfId="0"/>
    <xf numFmtId="167" fontId="10" fillId="4" borderId="3" xfId="0" applyNumberFormat="1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4" fontId="7" fillId="6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4" fontId="8" fillId="7" borderId="3" xfId="0" applyNumberFormat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4" fontId="8" fillId="8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left" vertical="center" wrapText="1"/>
    </xf>
    <xf numFmtId="165" fontId="7" fillId="6" borderId="3" xfId="0" applyNumberFormat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166" fontId="7" fillId="6" borderId="3" xfId="0" applyNumberFormat="1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167" fontId="7" fillId="6" borderId="3" xfId="0" applyNumberFormat="1" applyFont="1" applyFill="1" applyBorder="1" applyAlignment="1">
      <alignment horizontal="center" vertical="center" wrapText="1"/>
    </xf>
    <xf numFmtId="3" fontId="7" fillId="6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168" fontId="7" fillId="6" borderId="3" xfId="0" applyNumberFormat="1" applyFont="1" applyFill="1" applyBorder="1" applyAlignment="1">
      <alignment horizontal="center" vertical="center" wrapText="1"/>
    </xf>
    <xf numFmtId="168" fontId="8" fillId="8" borderId="3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168" fontId="3" fillId="2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/>
    <xf numFmtId="10" fontId="8" fillId="7" borderId="3" xfId="0" applyNumberFormat="1" applyFont="1" applyFill="1" applyBorder="1" applyAlignment="1">
      <alignment horizontal="center" vertical="center" wrapText="1"/>
    </xf>
    <xf numFmtId="165" fontId="8" fillId="7" borderId="3" xfId="0" applyNumberFormat="1" applyFont="1" applyFill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10" fontId="8" fillId="5" borderId="3" xfId="0" applyNumberFormat="1" applyFont="1" applyFill="1" applyBorder="1" applyAlignment="1">
      <alignment horizontal="center" vertical="center" wrapText="1"/>
    </xf>
    <xf numFmtId="165" fontId="8" fillId="5" borderId="3" xfId="0" applyNumberFormat="1" applyFont="1" applyFill="1" applyBorder="1" applyAlignment="1">
      <alignment horizontal="center" vertical="center" wrapText="1"/>
    </xf>
    <xf numFmtId="10" fontId="3" fillId="2" borderId="3" xfId="0" applyNumberFormat="1" applyFont="1" applyFill="1" applyBorder="1" applyAlignment="1">
      <alignment horizontal="center" vertical="center" wrapText="1"/>
    </xf>
    <xf numFmtId="0" fontId="8" fillId="7" borderId="0" xfId="0" applyFont="1" applyFill="1"/>
    <xf numFmtId="0" fontId="15" fillId="5" borderId="3" xfId="0" applyFont="1" applyFill="1" applyBorder="1" applyAlignment="1">
      <alignment horizontal="left" vertical="center" wrapText="1"/>
    </xf>
    <xf numFmtId="169" fontId="8" fillId="5" borderId="3" xfId="0" applyNumberFormat="1" applyFont="1" applyFill="1" applyBorder="1" applyAlignment="1">
      <alignment horizontal="center" vertical="center" wrapText="1"/>
    </xf>
    <xf numFmtId="166" fontId="8" fillId="5" borderId="3" xfId="0" applyNumberFormat="1" applyFont="1" applyFill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165" fontId="15" fillId="7" borderId="3" xfId="0" applyNumberFormat="1" applyFont="1" applyFill="1" applyBorder="1" applyAlignment="1">
      <alignment horizontal="left" vertical="center" wrapText="1"/>
    </xf>
    <xf numFmtId="169" fontId="8" fillId="7" borderId="3" xfId="0" applyNumberFormat="1" applyFont="1" applyFill="1" applyBorder="1" applyAlignment="1">
      <alignment horizontal="center" vertical="center" wrapText="1"/>
    </xf>
    <xf numFmtId="170" fontId="15" fillId="7" borderId="3" xfId="0" applyNumberFormat="1" applyFont="1" applyFill="1" applyBorder="1" applyAlignment="1">
      <alignment horizontal="left" vertical="center" wrapText="1"/>
    </xf>
    <xf numFmtId="166" fontId="8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170" fontId="15" fillId="5" borderId="3" xfId="0" applyNumberFormat="1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left" vertical="center" wrapText="1"/>
    </xf>
    <xf numFmtId="168" fontId="8" fillId="10" borderId="3" xfId="0" applyNumberFormat="1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left" vertical="center" wrapText="1"/>
    </xf>
    <xf numFmtId="168" fontId="8" fillId="16" borderId="3" xfId="0" applyNumberFormat="1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left" vertical="center" wrapText="1"/>
    </xf>
    <xf numFmtId="0" fontId="8" fillId="7" borderId="3" xfId="0" applyFont="1" applyFill="1" applyBorder="1"/>
    <xf numFmtId="3" fontId="8" fillId="7" borderId="3" xfId="0" applyNumberFormat="1" applyFont="1" applyFill="1" applyBorder="1" applyAlignment="1">
      <alignment horizontal="center" vertical="center" wrapText="1"/>
    </xf>
    <xf numFmtId="168" fontId="8" fillId="7" borderId="3" xfId="0" applyNumberFormat="1" applyFont="1" applyFill="1" applyBorder="1" applyAlignment="1">
      <alignment horizontal="center" vertical="center" wrapText="1"/>
    </xf>
    <xf numFmtId="168" fontId="5" fillId="8" borderId="3" xfId="0" applyNumberFormat="1" applyFont="1" applyFill="1" applyBorder="1" applyAlignment="1">
      <alignment horizontal="center" vertical="center" wrapText="1"/>
    </xf>
    <xf numFmtId="168" fontId="14" fillId="7" borderId="3" xfId="0" applyNumberFormat="1" applyFont="1" applyFill="1" applyBorder="1" applyAlignment="1">
      <alignment horizontal="left" vertical="center" wrapText="1"/>
    </xf>
    <xf numFmtId="168" fontId="8" fillId="7" borderId="3" xfId="0" applyNumberFormat="1" applyFont="1" applyFill="1" applyBorder="1"/>
    <xf numFmtId="3" fontId="8" fillId="5" borderId="3" xfId="0" applyNumberFormat="1" applyFont="1" applyFill="1" applyBorder="1" applyAlignment="1">
      <alignment horizontal="center" vertical="center" wrapText="1"/>
    </xf>
    <xf numFmtId="168" fontId="8" fillId="5" borderId="3" xfId="0" applyNumberFormat="1" applyFont="1" applyFill="1" applyBorder="1" applyAlignment="1">
      <alignment horizontal="center" vertical="center" wrapText="1"/>
    </xf>
    <xf numFmtId="168" fontId="14" fillId="5" borderId="3" xfId="0" applyNumberFormat="1" applyFont="1" applyFill="1" applyBorder="1" applyAlignment="1">
      <alignment horizontal="left" vertical="center" wrapText="1"/>
    </xf>
    <xf numFmtId="165" fontId="8" fillId="7" borderId="3" xfId="0" applyNumberFormat="1" applyFont="1" applyFill="1" applyBorder="1"/>
    <xf numFmtId="3" fontId="8" fillId="7" borderId="3" xfId="0" applyNumberFormat="1" applyFont="1" applyFill="1" applyBorder="1"/>
    <xf numFmtId="168" fontId="17" fillId="11" borderId="3" xfId="0" applyNumberFormat="1" applyFont="1" applyFill="1" applyBorder="1" applyAlignment="1">
      <alignment horizontal="center" vertical="center" wrapText="1"/>
    </xf>
    <xf numFmtId="168" fontId="8" fillId="11" borderId="3" xfId="0" applyNumberFormat="1" applyFont="1" applyFill="1" applyBorder="1" applyAlignment="1">
      <alignment horizontal="center" vertical="center" wrapText="1"/>
    </xf>
    <xf numFmtId="166" fontId="8" fillId="10" borderId="3" xfId="0" applyNumberFormat="1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left" vertical="center" wrapText="1"/>
    </xf>
    <xf numFmtId="166" fontId="8" fillId="8" borderId="3" xfId="0" applyNumberFormat="1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left" vertical="center" wrapText="1"/>
    </xf>
    <xf numFmtId="168" fontId="17" fillId="2" borderId="3" xfId="0" applyNumberFormat="1" applyFont="1" applyFill="1" applyBorder="1" applyAlignment="1">
      <alignment horizontal="center" vertical="center" wrapText="1"/>
    </xf>
    <xf numFmtId="166" fontId="17" fillId="2" borderId="3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168" fontId="17" fillId="7" borderId="3" xfId="0" applyNumberFormat="1" applyFont="1" applyFill="1" applyBorder="1" applyAlignment="1">
      <alignment horizontal="center" vertical="center" wrapText="1"/>
    </xf>
    <xf numFmtId="166" fontId="17" fillId="7" borderId="3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166" fontId="8" fillId="7" borderId="0" xfId="0" applyNumberFormat="1" applyFont="1" applyFill="1"/>
    <xf numFmtId="168" fontId="15" fillId="7" borderId="3" xfId="0" applyNumberFormat="1" applyFont="1" applyFill="1" applyBorder="1" applyAlignment="1">
      <alignment horizontal="left" vertical="center" wrapText="1"/>
    </xf>
    <xf numFmtId="168" fontId="15" fillId="5" borderId="3" xfId="0" applyNumberFormat="1" applyFont="1" applyFill="1" applyBorder="1" applyAlignment="1">
      <alignment horizontal="left" vertical="center" wrapText="1"/>
    </xf>
    <xf numFmtId="165" fontId="8" fillId="6" borderId="3" xfId="0" applyNumberFormat="1" applyFont="1" applyFill="1" applyBorder="1" applyAlignment="1">
      <alignment horizontal="center" vertical="center" wrapText="1"/>
    </xf>
    <xf numFmtId="168" fontId="17" fillId="13" borderId="3" xfId="0" applyNumberFormat="1" applyFont="1" applyFill="1" applyBorder="1" applyAlignment="1">
      <alignment horizontal="center" vertical="center" wrapText="1"/>
    </xf>
    <xf numFmtId="171" fontId="8" fillId="6" borderId="3" xfId="0" applyNumberFormat="1" applyFont="1" applyFill="1" applyBorder="1" applyAlignment="1">
      <alignment horizontal="center" vertical="center" wrapText="1"/>
    </xf>
    <xf numFmtId="168" fontId="17" fillId="9" borderId="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171" fontId="8" fillId="5" borderId="3" xfId="0" applyNumberFormat="1" applyFont="1" applyFill="1" applyBorder="1" applyAlignment="1">
      <alignment horizontal="center" vertical="center" wrapText="1"/>
    </xf>
    <xf numFmtId="171" fontId="8" fillId="7" borderId="3" xfId="0" applyNumberFormat="1" applyFont="1" applyFill="1" applyBorder="1" applyAlignment="1">
      <alignment horizontal="center" vertical="center" wrapText="1"/>
    </xf>
    <xf numFmtId="3" fontId="8" fillId="8" borderId="3" xfId="0" applyNumberFormat="1" applyFont="1" applyFill="1" applyBorder="1" applyAlignment="1">
      <alignment horizontal="center" vertical="center" wrapText="1"/>
    </xf>
    <xf numFmtId="171" fontId="8" fillId="8" borderId="3" xfId="0" applyNumberFormat="1" applyFont="1" applyFill="1" applyBorder="1" applyAlignment="1">
      <alignment horizontal="center" vertical="center" wrapText="1"/>
    </xf>
    <xf numFmtId="168" fontId="15" fillId="8" borderId="3" xfId="0" applyNumberFormat="1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3" fontId="8" fillId="10" borderId="3" xfId="0" applyNumberFormat="1" applyFont="1" applyFill="1" applyBorder="1" applyAlignment="1">
      <alignment horizontal="center" vertical="center" wrapText="1"/>
    </xf>
    <xf numFmtId="171" fontId="8" fillId="10" borderId="3" xfId="0" applyNumberFormat="1" applyFont="1" applyFill="1" applyBorder="1" applyAlignment="1">
      <alignment horizontal="center" vertical="center" wrapText="1"/>
    </xf>
    <xf numFmtId="171" fontId="15" fillId="10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horizontal="center" vertical="center" wrapText="1"/>
    </xf>
    <xf numFmtId="4" fontId="7" fillId="7" borderId="3" xfId="0" applyNumberFormat="1" applyFont="1" applyFill="1" applyBorder="1" applyAlignment="1">
      <alignment horizontal="center" vertical="center" wrapText="1"/>
    </xf>
    <xf numFmtId="168" fontId="17" fillId="3" borderId="3" xfId="0" applyNumberFormat="1" applyFont="1" applyFill="1" applyBorder="1" applyAlignment="1">
      <alignment horizontal="center" vertical="center" wrapText="1"/>
    </xf>
    <xf numFmtId="168" fontId="20" fillId="2" borderId="5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172" fontId="21" fillId="8" borderId="3" xfId="0" applyNumberFormat="1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left" vertical="top" wrapText="1"/>
    </xf>
    <xf numFmtId="0" fontId="25" fillId="5" borderId="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left" vertical="top" wrapText="1"/>
    </xf>
    <xf numFmtId="0" fontId="25" fillId="7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left" vertical="center" wrapText="1"/>
    </xf>
    <xf numFmtId="167" fontId="8" fillId="4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26" fillId="8" borderId="3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left" vertical="center" wrapText="1"/>
    </xf>
    <xf numFmtId="167" fontId="8" fillId="8" borderId="3" xfId="0" applyNumberFormat="1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left" vertical="center" wrapText="1"/>
    </xf>
    <xf numFmtId="0" fontId="27" fillId="16" borderId="3" xfId="0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8" fillId="16" borderId="3" xfId="0" applyFont="1" applyFill="1" applyBorder="1" applyAlignment="1">
      <alignment horizontal="left" vertical="center" wrapText="1"/>
    </xf>
    <xf numFmtId="167" fontId="8" fillId="16" borderId="3" xfId="0" applyNumberFormat="1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left" vertical="center" wrapText="1"/>
    </xf>
    <xf numFmtId="0" fontId="27" fillId="14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8" fillId="14" borderId="3" xfId="0" applyFont="1" applyFill="1" applyBorder="1" applyAlignment="1">
      <alignment horizontal="left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5" fillId="14" borderId="3" xfId="0" applyFont="1" applyFill="1" applyBorder="1" applyAlignment="1">
      <alignment horizontal="left" vertical="center" wrapText="1"/>
    </xf>
    <xf numFmtId="0" fontId="5" fillId="16" borderId="3" xfId="0" applyFont="1" applyFill="1" applyBorder="1" applyAlignment="1">
      <alignment horizontal="left" vertical="center" wrapText="1"/>
    </xf>
    <xf numFmtId="166" fontId="8" fillId="7" borderId="3" xfId="0" applyNumberFormat="1" applyFont="1" applyFill="1" applyBorder="1"/>
    <xf numFmtId="0" fontId="21" fillId="8" borderId="3" xfId="0" applyFont="1" applyFill="1" applyBorder="1" applyAlignment="1">
      <alignment horizontal="left" vertical="center" wrapText="1"/>
    </xf>
    <xf numFmtId="3" fontId="3" fillId="9" borderId="3" xfId="0" applyNumberFormat="1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3" fontId="3" fillId="10" borderId="3" xfId="0" applyNumberFormat="1" applyFont="1" applyFill="1" applyBorder="1" applyAlignment="1">
      <alignment horizontal="left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168" fontId="4" fillId="2" borderId="3" xfId="0" applyNumberFormat="1" applyFont="1" applyFill="1" applyBorder="1" applyAlignment="1">
      <alignment horizontal="center" vertical="center" wrapText="1"/>
    </xf>
    <xf numFmtId="3" fontId="24" fillId="7" borderId="3" xfId="0" applyNumberFormat="1" applyFont="1" applyFill="1" applyBorder="1" applyAlignment="1">
      <alignment horizontal="center" vertical="center" wrapText="1"/>
    </xf>
    <xf numFmtId="168" fontId="8" fillId="18" borderId="3" xfId="0" applyNumberFormat="1" applyFont="1" applyFill="1" applyBorder="1" applyAlignment="1">
      <alignment horizontal="center" vertical="center" wrapText="1"/>
    </xf>
    <xf numFmtId="168" fontId="5" fillId="14" borderId="3" xfId="0" applyNumberFormat="1" applyFont="1" applyFill="1" applyBorder="1" applyAlignment="1">
      <alignment horizontal="center" vertical="center" wrapText="1"/>
    </xf>
    <xf numFmtId="168" fontId="30" fillId="6" borderId="3" xfId="0" applyNumberFormat="1" applyFont="1" applyFill="1" applyBorder="1" applyAlignment="1">
      <alignment horizontal="center" vertical="center" wrapText="1"/>
    </xf>
    <xf numFmtId="168" fontId="31" fillId="7" borderId="3" xfId="0" applyNumberFormat="1" applyFont="1" applyFill="1" applyBorder="1" applyAlignment="1">
      <alignment horizontal="left" vertical="center" wrapText="1"/>
    </xf>
    <xf numFmtId="168" fontId="32" fillId="10" borderId="3" xfId="0" applyNumberFormat="1" applyFont="1" applyFill="1" applyBorder="1" applyAlignment="1">
      <alignment horizontal="center" vertical="center" wrapText="1"/>
    </xf>
    <xf numFmtId="3" fontId="24" fillId="5" borderId="3" xfId="0" applyNumberFormat="1" applyFont="1" applyFill="1" applyBorder="1" applyAlignment="1">
      <alignment horizontal="center" vertical="center" wrapText="1"/>
    </xf>
    <xf numFmtId="168" fontId="31" fillId="5" borderId="3" xfId="0" applyNumberFormat="1" applyFont="1" applyFill="1" applyBorder="1" applyAlignment="1">
      <alignment horizontal="left" vertical="center" wrapText="1"/>
    </xf>
    <xf numFmtId="168" fontId="5" fillId="16" borderId="3" xfId="0" applyNumberFormat="1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left" vertical="center" wrapText="1"/>
    </xf>
    <xf numFmtId="168" fontId="33" fillId="10" borderId="3" xfId="0" applyNumberFormat="1" applyFont="1" applyFill="1" applyBorder="1" applyAlignment="1">
      <alignment horizontal="center" vertical="center" wrapText="1"/>
    </xf>
    <xf numFmtId="3" fontId="4" fillId="9" borderId="3" xfId="0" applyNumberFormat="1" applyFont="1" applyFill="1" applyBorder="1" applyAlignment="1">
      <alignment horizontal="center" vertical="center" wrapText="1"/>
    </xf>
    <xf numFmtId="167" fontId="4" fillId="9" borderId="3" xfId="0" applyNumberFormat="1" applyFont="1" applyFill="1" applyBorder="1" applyAlignment="1">
      <alignment horizontal="center" vertical="center" wrapText="1"/>
    </xf>
    <xf numFmtId="168" fontId="16" fillId="9" borderId="3" xfId="0" applyNumberFormat="1" applyFont="1" applyFill="1" applyBorder="1" applyAlignment="1">
      <alignment horizontal="left" vertical="center" wrapText="1"/>
    </xf>
    <xf numFmtId="167" fontId="34" fillId="9" borderId="3" xfId="0" applyNumberFormat="1" applyFont="1" applyFill="1" applyBorder="1" applyAlignment="1">
      <alignment horizontal="center" vertical="center" wrapText="1"/>
    </xf>
    <xf numFmtId="3" fontId="3" fillId="11" borderId="3" xfId="0" applyNumberFormat="1" applyFont="1" applyFill="1" applyBorder="1" applyAlignment="1">
      <alignment horizontal="left" vertical="center" wrapText="1"/>
    </xf>
    <xf numFmtId="3" fontId="3" fillId="8" borderId="3" xfId="0" applyNumberFormat="1" applyFont="1" applyFill="1" applyBorder="1" applyAlignment="1">
      <alignment horizontal="left" vertical="center" wrapText="1"/>
    </xf>
    <xf numFmtId="3" fontId="4" fillId="11" borderId="3" xfId="0" applyNumberFormat="1" applyFont="1" applyFill="1" applyBorder="1" applyAlignment="1">
      <alignment horizontal="center" vertical="center" wrapText="1"/>
    </xf>
    <xf numFmtId="168" fontId="4" fillId="11" borderId="3" xfId="0" applyNumberFormat="1" applyFont="1" applyFill="1" applyBorder="1" applyAlignment="1">
      <alignment horizontal="center" vertical="center" wrapText="1"/>
    </xf>
    <xf numFmtId="168" fontId="35" fillId="8" borderId="3" xfId="0" applyNumberFormat="1" applyFont="1" applyFill="1" applyBorder="1" applyAlignment="1">
      <alignment horizontal="center" vertical="center" wrapText="1"/>
    </xf>
    <xf numFmtId="3" fontId="24" fillId="16" borderId="3" xfId="0" applyNumberFormat="1" applyFont="1" applyFill="1" applyBorder="1" applyAlignment="1">
      <alignment horizontal="center" vertical="center" wrapText="1"/>
    </xf>
    <xf numFmtId="167" fontId="8" fillId="5" borderId="3" xfId="0" applyNumberFormat="1" applyFont="1" applyFill="1" applyBorder="1" applyAlignment="1">
      <alignment horizontal="center" vertical="center" wrapText="1"/>
    </xf>
    <xf numFmtId="167" fontId="8" fillId="7" borderId="3" xfId="0" applyNumberFormat="1" applyFont="1" applyFill="1" applyBorder="1" applyAlignment="1">
      <alignment horizontal="center" vertical="center" wrapText="1"/>
    </xf>
    <xf numFmtId="167" fontId="8" fillId="7" borderId="3" xfId="0" applyNumberFormat="1" applyFont="1" applyFill="1" applyBorder="1"/>
    <xf numFmtId="167" fontId="8" fillId="10" borderId="3" xfId="0" applyNumberFormat="1" applyFont="1" applyFill="1" applyBorder="1" applyAlignment="1">
      <alignment horizontal="center" vertical="center" wrapText="1"/>
    </xf>
    <xf numFmtId="167" fontId="5" fillId="10" borderId="3" xfId="0" applyNumberFormat="1" applyFont="1" applyFill="1" applyBorder="1" applyAlignment="1">
      <alignment horizontal="center" vertical="center" wrapText="1"/>
    </xf>
    <xf numFmtId="167" fontId="5" fillId="8" borderId="3" xfId="0" applyNumberFormat="1" applyFont="1" applyFill="1" applyBorder="1" applyAlignment="1">
      <alignment horizontal="center" vertical="center" wrapText="1"/>
    </xf>
    <xf numFmtId="167" fontId="21" fillId="8" borderId="3" xfId="0" applyNumberFormat="1" applyFont="1" applyFill="1" applyBorder="1" applyAlignment="1">
      <alignment horizontal="center" vertical="center" wrapText="1"/>
    </xf>
    <xf numFmtId="167" fontId="3" fillId="2" borderId="3" xfId="0" applyNumberFormat="1" applyFont="1" applyFill="1" applyBorder="1" applyAlignment="1">
      <alignment horizontal="center" vertical="center" wrapText="1"/>
    </xf>
    <xf numFmtId="167" fontId="19" fillId="2" borderId="3" xfId="0" applyNumberFormat="1" applyFont="1" applyFill="1" applyBorder="1" applyAlignment="1">
      <alignment horizontal="center" vertical="center" wrapText="1"/>
    </xf>
    <xf numFmtId="167" fontId="36" fillId="2" borderId="3" xfId="0" applyNumberFormat="1" applyFont="1" applyFill="1" applyBorder="1" applyAlignment="1">
      <alignment horizontal="center" vertical="center" wrapText="1"/>
    </xf>
    <xf numFmtId="167" fontId="11" fillId="8" borderId="3" xfId="0" applyNumberFormat="1" applyFont="1" applyFill="1" applyBorder="1" applyAlignment="1">
      <alignment horizontal="center" vertical="center" wrapText="1"/>
    </xf>
    <xf numFmtId="167" fontId="12" fillId="14" borderId="3" xfId="0" applyNumberFormat="1" applyFont="1" applyFill="1" applyBorder="1" applyAlignment="1">
      <alignment horizontal="center" vertical="center" wrapText="1"/>
    </xf>
    <xf numFmtId="167" fontId="13" fillId="15" borderId="3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0" fontId="8" fillId="7" borderId="3" xfId="0" applyNumberFormat="1" applyFont="1" applyFill="1" applyBorder="1"/>
    <xf numFmtId="10" fontId="8" fillId="5" borderId="3" xfId="0" applyNumberFormat="1" applyFont="1" applyFill="1" applyBorder="1"/>
    <xf numFmtId="10" fontId="8" fillId="2" borderId="3" xfId="0" applyNumberFormat="1" applyFont="1" applyFill="1" applyBorder="1"/>
    <xf numFmtId="0" fontId="9" fillId="5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18" fillId="17" borderId="2" xfId="0" applyFont="1" applyFill="1" applyBorder="1" applyAlignment="1">
      <alignment horizontal="left" vertical="center" wrapText="1"/>
    </xf>
    <xf numFmtId="0" fontId="3" fillId="13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8" fillId="7" borderId="3" xfId="0" applyFont="1" applyFill="1" applyBorder="1"/>
    <xf numFmtId="165" fontId="8" fillId="5" borderId="3" xfId="0" applyNumberFormat="1" applyFont="1" applyFill="1" applyBorder="1"/>
    <xf numFmtId="168" fontId="8" fillId="7" borderId="3" xfId="0" applyNumberFormat="1" applyFont="1" applyFill="1" applyBorder="1"/>
    <xf numFmtId="0" fontId="8" fillId="5" borderId="3" xfId="0" applyFont="1" applyFill="1" applyBorder="1"/>
    <xf numFmtId="166" fontId="8" fillId="7" borderId="3" xfId="0" applyNumberFormat="1" applyFont="1" applyFill="1" applyBorder="1"/>
    <xf numFmtId="0" fontId="21" fillId="8" borderId="2" xfId="0" applyFont="1" applyFill="1" applyBorder="1" applyAlignment="1">
      <alignment horizontal="left" vertical="center" wrapText="1"/>
    </xf>
    <xf numFmtId="3" fontId="18" fillId="17" borderId="3" xfId="0" applyNumberFormat="1" applyFont="1" applyFill="1" applyBorder="1" applyAlignment="1">
      <alignment horizontal="left" vertical="center" wrapText="1"/>
    </xf>
    <xf numFmtId="3" fontId="8" fillId="7" borderId="3" xfId="0" applyNumberFormat="1" applyFont="1" applyFill="1" applyBorder="1"/>
    <xf numFmtId="3" fontId="24" fillId="16" borderId="3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023EC4-4EE8-4A44-B0F4-56D02E978DA2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55555"/>
      <rgbColor rgb="FF800080"/>
      <rgbColor rgb="FF008080"/>
      <rgbColor rgb="FFBFBFBF"/>
      <rgbColor rgb="FF888888"/>
      <rgbColor rgb="FF9999FF"/>
      <rgbColor rgb="FF7030A0"/>
      <rgbColor rgb="FFFFFDE7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E2EFDA"/>
      <rgbColor rgb="FFFFF2CC"/>
      <rgbColor rgb="FFFFF0E0"/>
      <rgbColor rgb="FFFFE0E0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375623"/>
      <rgbColor rgb="FF444444"/>
      <rgbColor rgb="FF843C0C"/>
      <rgbColor rgb="FF595959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40" customWidth="1"/>
    <col min="2" max="2" width="9" customWidth="1"/>
    <col min="3" max="3" width="16" customWidth="1"/>
    <col min="4" max="4" width="10" customWidth="1"/>
    <col min="5" max="5" width="50" customWidth="1"/>
    <col min="6" max="8" width="1" customWidth="1"/>
  </cols>
  <sheetData>
    <row r="1" spans="1:8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2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18" customHeight="1" x14ac:dyDescent="0.3">
      <c r="A4" s="12" t="s">
        <v>2</v>
      </c>
      <c r="B4" s="12"/>
      <c r="C4" s="12"/>
      <c r="D4" s="12"/>
      <c r="E4" s="12"/>
      <c r="F4" s="12"/>
      <c r="G4" s="12"/>
      <c r="H4" s="12"/>
    </row>
    <row r="5" spans="1:8" ht="21.75" customHeight="1" x14ac:dyDescent="0.3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/>
      <c r="G5" s="15"/>
      <c r="H5" s="15"/>
    </row>
    <row r="6" spans="1:8" ht="15.75" customHeight="1" x14ac:dyDescent="0.3">
      <c r="A6" s="16" t="s">
        <v>8</v>
      </c>
      <c r="B6" s="17" t="s">
        <v>9</v>
      </c>
      <c r="C6" s="18">
        <v>7775.51</v>
      </c>
      <c r="D6" s="19" t="s">
        <v>10</v>
      </c>
      <c r="E6" s="11" t="s">
        <v>11</v>
      </c>
      <c r="F6" s="11"/>
      <c r="G6" s="11"/>
      <c r="H6" s="11"/>
    </row>
    <row r="7" spans="1:8" ht="15.75" customHeight="1" x14ac:dyDescent="0.3">
      <c r="A7" s="16" t="s">
        <v>12</v>
      </c>
      <c r="B7" s="20" t="s">
        <v>13</v>
      </c>
      <c r="C7" s="18">
        <v>7401.73</v>
      </c>
      <c r="D7" s="21" t="s">
        <v>10</v>
      </c>
      <c r="E7" s="10" t="s">
        <v>11</v>
      </c>
      <c r="F7" s="10"/>
      <c r="G7" s="10"/>
      <c r="H7" s="10"/>
    </row>
    <row r="8" spans="1:8" ht="15.75" customHeight="1" x14ac:dyDescent="0.3">
      <c r="A8" s="16" t="s">
        <v>14</v>
      </c>
      <c r="B8" s="17" t="s">
        <v>15</v>
      </c>
      <c r="C8" s="18">
        <v>165555.92000000001</v>
      </c>
      <c r="D8" s="19" t="s">
        <v>10</v>
      </c>
      <c r="E8" s="11" t="s">
        <v>11</v>
      </c>
      <c r="F8" s="11"/>
      <c r="G8" s="11"/>
      <c r="H8" s="11"/>
    </row>
    <row r="9" spans="1:8" ht="15.75" customHeight="1" x14ac:dyDescent="0.3">
      <c r="A9" s="16" t="s">
        <v>16</v>
      </c>
      <c r="B9" s="20" t="s">
        <v>17</v>
      </c>
      <c r="C9" s="18">
        <v>3195.69</v>
      </c>
      <c r="D9" s="21" t="s">
        <v>10</v>
      </c>
      <c r="E9" s="10" t="s">
        <v>11</v>
      </c>
      <c r="F9" s="10"/>
      <c r="G9" s="10"/>
      <c r="H9" s="10"/>
    </row>
    <row r="10" spans="1:8" ht="15.75" customHeight="1" x14ac:dyDescent="0.3">
      <c r="A10" s="16" t="s">
        <v>18</v>
      </c>
      <c r="B10" s="17" t="s">
        <v>19</v>
      </c>
      <c r="C10" s="18">
        <v>882775.79</v>
      </c>
      <c r="D10" s="19" t="s">
        <v>10</v>
      </c>
      <c r="E10" s="11" t="s">
        <v>11</v>
      </c>
      <c r="F10" s="11"/>
      <c r="G10" s="11"/>
      <c r="H10" s="11"/>
    </row>
    <row r="11" spans="1:8" ht="15.75" customHeight="1" x14ac:dyDescent="0.3">
      <c r="A11" s="16" t="s">
        <v>20</v>
      </c>
      <c r="B11" s="20" t="s">
        <v>21</v>
      </c>
      <c r="C11" s="22">
        <v>1.0740000000000001</v>
      </c>
      <c r="D11" s="21" t="s">
        <v>22</v>
      </c>
      <c r="E11" s="10" t="s">
        <v>23</v>
      </c>
      <c r="F11" s="10"/>
      <c r="G11" s="10"/>
      <c r="H11" s="10"/>
    </row>
    <row r="12" spans="1:8" ht="15.75" customHeight="1" x14ac:dyDescent="0.3">
      <c r="A12" s="16" t="s">
        <v>24</v>
      </c>
      <c r="B12" s="17" t="s">
        <v>25</v>
      </c>
      <c r="C12" s="22">
        <v>1024</v>
      </c>
      <c r="D12" s="19" t="s">
        <v>26</v>
      </c>
      <c r="E12" s="11" t="s">
        <v>27</v>
      </c>
      <c r="F12" s="11"/>
      <c r="G12" s="11"/>
      <c r="H12" s="11"/>
    </row>
    <row r="13" spans="1:8" ht="15.75" customHeight="1" x14ac:dyDescent="0.3">
      <c r="A13" s="23" t="s">
        <v>28</v>
      </c>
      <c r="B13" s="20" t="s">
        <v>29</v>
      </c>
      <c r="C13" s="24">
        <f>C6+C7+C8+C9+C10</f>
        <v>1066704.6400000001</v>
      </c>
      <c r="D13" s="21" t="s">
        <v>10</v>
      </c>
      <c r="E13" s="10" t="s">
        <v>30</v>
      </c>
      <c r="F13" s="10"/>
      <c r="G13" s="10"/>
      <c r="H13" s="10"/>
    </row>
    <row r="14" spans="1:8" ht="15.75" customHeight="1" x14ac:dyDescent="0.3">
      <c r="A14" s="23" t="s">
        <v>31</v>
      </c>
      <c r="B14" s="25" t="s">
        <v>32</v>
      </c>
      <c r="C14" s="26">
        <f>C13/C12</f>
        <v>1041.7037500000001</v>
      </c>
      <c r="D14" s="27" t="s">
        <v>33</v>
      </c>
      <c r="E14" s="9" t="s">
        <v>34</v>
      </c>
      <c r="F14" s="9"/>
      <c r="G14" s="9"/>
      <c r="H14" s="9"/>
    </row>
    <row r="15" spans="1:8" ht="15.75" customHeight="1" x14ac:dyDescent="0.3">
      <c r="A15" s="23" t="s">
        <v>35</v>
      </c>
      <c r="B15" s="20" t="s">
        <v>36</v>
      </c>
      <c r="C15" s="24">
        <f>C13*C11</f>
        <v>1145640.7833600002</v>
      </c>
      <c r="D15" s="21" t="s">
        <v>37</v>
      </c>
      <c r="E15" s="10" t="s">
        <v>38</v>
      </c>
      <c r="F15" s="10"/>
      <c r="G15" s="10"/>
      <c r="H15" s="10"/>
    </row>
    <row r="16" spans="1:8" ht="15.75" customHeight="1" x14ac:dyDescent="0.3">
      <c r="A16" s="23" t="s">
        <v>39</v>
      </c>
      <c r="B16" s="25" t="s">
        <v>40</v>
      </c>
      <c r="C16" s="26">
        <f>221472.95+72998.02</f>
        <v>294470.97000000003</v>
      </c>
      <c r="D16" s="27" t="s">
        <v>10</v>
      </c>
      <c r="E16" s="9" t="s">
        <v>41</v>
      </c>
      <c r="F16" s="9"/>
      <c r="G16" s="9"/>
      <c r="H16" s="9"/>
    </row>
    <row r="17" spans="1:8" ht="15.75" customHeight="1" x14ac:dyDescent="0.3">
      <c r="A17" s="23" t="s">
        <v>42</v>
      </c>
      <c r="B17" s="20" t="s">
        <v>43</v>
      </c>
      <c r="C17" s="24">
        <f>374040.18+349749.29+48444.2</f>
        <v>772233.66999999993</v>
      </c>
      <c r="D17" s="21" t="s">
        <v>10</v>
      </c>
      <c r="E17" s="10" t="s">
        <v>44</v>
      </c>
      <c r="F17" s="10"/>
      <c r="G17" s="10"/>
      <c r="H17" s="10"/>
    </row>
    <row r="18" spans="1:8" ht="15.75" customHeight="1" x14ac:dyDescent="0.3">
      <c r="A18" s="23" t="s">
        <v>45</v>
      </c>
      <c r="B18" s="25" t="s">
        <v>46</v>
      </c>
      <c r="C18" s="26">
        <f>C16*C11</f>
        <v>316261.82178000006</v>
      </c>
      <c r="D18" s="27" t="s">
        <v>37</v>
      </c>
      <c r="E18" s="9" t="s">
        <v>47</v>
      </c>
      <c r="F18" s="9"/>
      <c r="G18" s="9"/>
      <c r="H18" s="9"/>
    </row>
    <row r="19" spans="1:8" ht="15.75" customHeight="1" x14ac:dyDescent="0.3">
      <c r="A19" s="23" t="s">
        <v>48</v>
      </c>
      <c r="B19" s="20" t="s">
        <v>49</v>
      </c>
      <c r="C19" s="24">
        <f>C17*C11</f>
        <v>829378.96158</v>
      </c>
      <c r="D19" s="21" t="s">
        <v>37</v>
      </c>
      <c r="E19" s="10" t="s">
        <v>50</v>
      </c>
      <c r="F19" s="10"/>
      <c r="G19" s="10"/>
      <c r="H19" s="10"/>
    </row>
    <row r="21" spans="1:8" ht="18" customHeight="1" x14ac:dyDescent="0.3">
      <c r="A21" s="8" t="s">
        <v>51</v>
      </c>
      <c r="B21" s="8"/>
      <c r="C21" s="8"/>
      <c r="D21" s="8"/>
      <c r="E21" s="8"/>
      <c r="F21" s="8"/>
      <c r="G21" s="8"/>
      <c r="H21" s="8"/>
    </row>
    <row r="22" spans="1:8" ht="21.75" customHeight="1" x14ac:dyDescent="0.3">
      <c r="A22" s="28" t="s">
        <v>3</v>
      </c>
      <c r="B22" s="28" t="s">
        <v>4</v>
      </c>
      <c r="C22" s="28" t="s">
        <v>5</v>
      </c>
      <c r="D22" s="28" t="s">
        <v>6</v>
      </c>
      <c r="E22" s="28" t="s">
        <v>7</v>
      </c>
      <c r="F22" s="28"/>
      <c r="G22" s="28"/>
      <c r="H22" s="28"/>
    </row>
    <row r="23" spans="1:8" ht="15.75" customHeight="1" x14ac:dyDescent="0.3">
      <c r="A23" s="29" t="s">
        <v>52</v>
      </c>
      <c r="B23" s="20" t="s">
        <v>53</v>
      </c>
      <c r="C23" s="30">
        <v>0.02</v>
      </c>
      <c r="D23" s="21" t="s">
        <v>54</v>
      </c>
      <c r="E23" s="10" t="s">
        <v>55</v>
      </c>
      <c r="F23" s="10"/>
      <c r="G23" s="10"/>
      <c r="H23" s="10"/>
    </row>
    <row r="24" spans="1:8" ht="15.75" customHeight="1" x14ac:dyDescent="0.3">
      <c r="A24" s="29" t="s">
        <v>56</v>
      </c>
      <c r="B24" s="31" t="s">
        <v>57</v>
      </c>
      <c r="C24" s="30">
        <v>1.4999999999999999E-2</v>
      </c>
      <c r="D24" s="32" t="s">
        <v>54</v>
      </c>
      <c r="E24" s="7" t="s">
        <v>58</v>
      </c>
      <c r="F24" s="7"/>
      <c r="G24" s="7"/>
      <c r="H24" s="7"/>
    </row>
    <row r="25" spans="1:8" ht="15.75" customHeight="1" x14ac:dyDescent="0.3">
      <c r="A25" s="29" t="s">
        <v>59</v>
      </c>
      <c r="B25" s="20" t="s">
        <v>60</v>
      </c>
      <c r="C25" s="30">
        <v>0.01</v>
      </c>
      <c r="D25" s="21" t="s">
        <v>54</v>
      </c>
      <c r="E25" s="10" t="s">
        <v>61</v>
      </c>
      <c r="F25" s="10"/>
      <c r="G25" s="10"/>
      <c r="H25" s="10"/>
    </row>
    <row r="26" spans="1:8" ht="15.75" customHeight="1" x14ac:dyDescent="0.3">
      <c r="A26" s="29" t="s">
        <v>62</v>
      </c>
      <c r="B26" s="31" t="s">
        <v>63</v>
      </c>
      <c r="C26" s="30">
        <v>2E-3</v>
      </c>
      <c r="D26" s="32" t="s">
        <v>54</v>
      </c>
      <c r="E26" s="7" t="s">
        <v>64</v>
      </c>
      <c r="F26" s="7"/>
      <c r="G26" s="7"/>
      <c r="H26" s="7"/>
    </row>
    <row r="27" spans="1:8" ht="15.75" customHeight="1" x14ac:dyDescent="0.3">
      <c r="A27" s="29" t="s">
        <v>65</v>
      </c>
      <c r="B27" s="20" t="s">
        <v>66</v>
      </c>
      <c r="C27" s="33">
        <v>0.34279999999999999</v>
      </c>
      <c r="D27" s="21" t="s">
        <v>67</v>
      </c>
      <c r="E27" s="10" t="s">
        <v>68</v>
      </c>
      <c r="F27" s="10"/>
      <c r="G27" s="10"/>
      <c r="H27" s="10"/>
    </row>
    <row r="28" spans="1:8" ht="15.75" customHeight="1" x14ac:dyDescent="0.3">
      <c r="A28" s="29" t="s">
        <v>69</v>
      </c>
      <c r="B28" s="31" t="s">
        <v>70</v>
      </c>
      <c r="C28" s="30">
        <v>0.01</v>
      </c>
      <c r="D28" s="32" t="s">
        <v>71</v>
      </c>
      <c r="E28" s="7" t="s">
        <v>72</v>
      </c>
      <c r="F28" s="7"/>
      <c r="G28" s="7"/>
      <c r="H28" s="7"/>
    </row>
    <row r="29" spans="1:8" ht="15.75" customHeight="1" x14ac:dyDescent="0.3">
      <c r="A29" s="29" t="s">
        <v>73</v>
      </c>
      <c r="B29" s="20" t="s">
        <v>74</v>
      </c>
      <c r="C29" s="30">
        <v>0.03</v>
      </c>
      <c r="D29" s="21" t="s">
        <v>71</v>
      </c>
      <c r="E29" s="10" t="s">
        <v>75</v>
      </c>
      <c r="F29" s="10"/>
      <c r="G29" s="10"/>
      <c r="H29" s="10"/>
    </row>
    <row r="30" spans="1:8" ht="15.75" customHeight="1" x14ac:dyDescent="0.3">
      <c r="A30" s="29" t="s">
        <v>76</v>
      </c>
      <c r="B30" s="31" t="s">
        <v>77</v>
      </c>
      <c r="C30" s="30">
        <v>2.1999999999999999E-2</v>
      </c>
      <c r="D30" s="32" t="s">
        <v>71</v>
      </c>
      <c r="E30" s="7" t="s">
        <v>78</v>
      </c>
      <c r="F30" s="7"/>
      <c r="G30" s="7"/>
      <c r="H30" s="7"/>
    </row>
    <row r="31" spans="1:8" ht="15.75" customHeight="1" x14ac:dyDescent="0.3">
      <c r="A31" s="29" t="s">
        <v>79</v>
      </c>
      <c r="B31" s="20" t="s">
        <v>80</v>
      </c>
      <c r="C31" s="30">
        <v>8.6999999999999994E-2</v>
      </c>
      <c r="D31" s="21" t="s">
        <v>71</v>
      </c>
      <c r="E31" s="10" t="s">
        <v>81</v>
      </c>
      <c r="F31" s="10"/>
      <c r="G31" s="10"/>
      <c r="H31" s="10"/>
    </row>
    <row r="32" spans="1:8" ht="15.75" customHeight="1" x14ac:dyDescent="0.3">
      <c r="A32" s="29" t="s">
        <v>82</v>
      </c>
      <c r="B32" s="31" t="s">
        <v>83</v>
      </c>
      <c r="C32" s="30">
        <v>8.3000000000000004E-2</v>
      </c>
      <c r="D32" s="32" t="s">
        <v>71</v>
      </c>
      <c r="E32" s="7" t="s">
        <v>84</v>
      </c>
      <c r="F32" s="7"/>
      <c r="G32" s="7"/>
      <c r="H32" s="7"/>
    </row>
    <row r="33" spans="1:8" ht="15.75" customHeight="1" x14ac:dyDescent="0.3">
      <c r="A33" s="29" t="s">
        <v>85</v>
      </c>
      <c r="B33" s="20" t="s">
        <v>86</v>
      </c>
      <c r="C33" s="30">
        <v>7.0000000000000007E-2</v>
      </c>
      <c r="D33" s="21" t="s">
        <v>71</v>
      </c>
      <c r="E33" s="10" t="s">
        <v>87</v>
      </c>
      <c r="F33" s="10"/>
      <c r="G33" s="10"/>
      <c r="H33" s="10"/>
    </row>
    <row r="34" spans="1:8" ht="15.75" customHeight="1" x14ac:dyDescent="0.3">
      <c r="A34" s="29" t="s">
        <v>88</v>
      </c>
      <c r="B34" s="31" t="s">
        <v>89</v>
      </c>
      <c r="C34" s="30">
        <v>0.05</v>
      </c>
      <c r="D34" s="32" t="s">
        <v>71</v>
      </c>
      <c r="E34" s="7" t="s">
        <v>90</v>
      </c>
      <c r="F34" s="7"/>
      <c r="G34" s="7"/>
      <c r="H34" s="7"/>
    </row>
    <row r="36" spans="1:8" ht="18" customHeight="1" x14ac:dyDescent="0.3">
      <c r="A36" s="6" t="s">
        <v>91</v>
      </c>
      <c r="B36" s="6"/>
      <c r="C36" s="6"/>
      <c r="D36" s="6"/>
      <c r="E36" s="6"/>
      <c r="F36" s="6"/>
      <c r="G36" s="6"/>
      <c r="H36" s="6"/>
    </row>
    <row r="37" spans="1:8" ht="21.75" customHeight="1" x14ac:dyDescent="0.3">
      <c r="A37" s="34" t="s">
        <v>3</v>
      </c>
      <c r="B37" s="34" t="s">
        <v>4</v>
      </c>
      <c r="C37" s="34" t="s">
        <v>5</v>
      </c>
      <c r="D37" s="34" t="s">
        <v>6</v>
      </c>
      <c r="E37" s="34" t="s">
        <v>7</v>
      </c>
      <c r="F37" s="34"/>
      <c r="G37" s="34"/>
      <c r="H37" s="34"/>
    </row>
    <row r="38" spans="1:8" ht="15.75" customHeight="1" x14ac:dyDescent="0.3">
      <c r="A38" s="23" t="s">
        <v>92</v>
      </c>
      <c r="B38" s="25" t="s">
        <v>93</v>
      </c>
      <c r="C38" s="30">
        <v>2.3E-2</v>
      </c>
      <c r="D38" s="27" t="s">
        <v>54</v>
      </c>
      <c r="E38" s="9" t="s">
        <v>94</v>
      </c>
      <c r="F38" s="9"/>
      <c r="G38" s="9"/>
      <c r="H38" s="9"/>
    </row>
    <row r="39" spans="1:8" ht="15.75" customHeight="1" x14ac:dyDescent="0.3">
      <c r="A39" s="23" t="s">
        <v>95</v>
      </c>
      <c r="B39" s="20" t="s">
        <v>96</v>
      </c>
      <c r="C39" s="30">
        <v>2.4E-2</v>
      </c>
      <c r="D39" s="21" t="s">
        <v>54</v>
      </c>
      <c r="E39" s="10" t="s">
        <v>97</v>
      </c>
      <c r="F39" s="10"/>
      <c r="G39" s="10"/>
      <c r="H39" s="10"/>
    </row>
    <row r="40" spans="1:8" ht="15.75" customHeight="1" x14ac:dyDescent="0.3">
      <c r="A40" s="23" t="s">
        <v>98</v>
      </c>
      <c r="B40" s="25" t="s">
        <v>99</v>
      </c>
      <c r="C40" s="30">
        <v>1.2500000000000001E-2</v>
      </c>
      <c r="D40" s="27" t="s">
        <v>54</v>
      </c>
      <c r="E40" s="9" t="s">
        <v>100</v>
      </c>
      <c r="F40" s="9"/>
      <c r="G40" s="9"/>
      <c r="H40" s="9"/>
    </row>
    <row r="41" spans="1:8" ht="15.75" customHeight="1" x14ac:dyDescent="0.3">
      <c r="A41" s="23" t="s">
        <v>101</v>
      </c>
      <c r="B41" s="20" t="s">
        <v>102</v>
      </c>
      <c r="C41" s="30">
        <v>1.2999999999999999E-2</v>
      </c>
      <c r="D41" s="21" t="s">
        <v>54</v>
      </c>
      <c r="E41" s="10" t="s">
        <v>103</v>
      </c>
      <c r="F41" s="10"/>
      <c r="G41" s="10"/>
      <c r="H41" s="10"/>
    </row>
    <row r="42" spans="1:8" ht="15.75" customHeight="1" x14ac:dyDescent="0.3">
      <c r="A42" s="23" t="s">
        <v>104</v>
      </c>
      <c r="B42" s="25" t="s">
        <v>105</v>
      </c>
      <c r="C42" s="30">
        <v>4.0000000000000001E-3</v>
      </c>
      <c r="D42" s="27" t="s">
        <v>54</v>
      </c>
      <c r="E42" s="9" t="s">
        <v>106</v>
      </c>
      <c r="F42" s="9"/>
      <c r="G42" s="9"/>
      <c r="H42" s="9"/>
    </row>
    <row r="43" spans="1:8" ht="15.75" customHeight="1" x14ac:dyDescent="0.3">
      <c r="A43" s="23" t="s">
        <v>107</v>
      </c>
      <c r="B43" s="20" t="s">
        <v>108</v>
      </c>
      <c r="C43" s="30">
        <v>4.4999999999999997E-3</v>
      </c>
      <c r="D43" s="21" t="s">
        <v>54</v>
      </c>
      <c r="E43" s="10" t="s">
        <v>109</v>
      </c>
      <c r="F43" s="10"/>
      <c r="G43" s="10"/>
      <c r="H43" s="10"/>
    </row>
    <row r="44" spans="1:8" ht="15.75" customHeight="1" x14ac:dyDescent="0.3">
      <c r="A44" s="23" t="s">
        <v>110</v>
      </c>
      <c r="B44" s="25" t="s">
        <v>111</v>
      </c>
      <c r="C44" s="30">
        <v>9.8999999999999999E-4</v>
      </c>
      <c r="D44" s="27" t="s">
        <v>54</v>
      </c>
      <c r="E44" s="9" t="s">
        <v>112</v>
      </c>
      <c r="F44" s="9"/>
      <c r="G44" s="9"/>
      <c r="H44" s="9"/>
    </row>
    <row r="45" spans="1:8" ht="15.75" customHeight="1" x14ac:dyDescent="0.3">
      <c r="A45" s="23" t="s">
        <v>113</v>
      </c>
      <c r="B45" s="20" t="s">
        <v>114</v>
      </c>
      <c r="C45" s="30">
        <v>1E-3</v>
      </c>
      <c r="D45" s="21" t="s">
        <v>54</v>
      </c>
      <c r="E45" s="10" t="s">
        <v>115</v>
      </c>
      <c r="F45" s="10"/>
      <c r="G45" s="10"/>
      <c r="H45" s="10"/>
    </row>
    <row r="46" spans="1:8" ht="15.75" customHeight="1" x14ac:dyDescent="0.3">
      <c r="A46" s="23" t="s">
        <v>116</v>
      </c>
      <c r="B46" s="25" t="s">
        <v>117</v>
      </c>
      <c r="C46" s="30">
        <v>5.0000000000000001E-3</v>
      </c>
      <c r="D46" s="27" t="s">
        <v>118</v>
      </c>
      <c r="E46" s="9" t="s">
        <v>119</v>
      </c>
      <c r="F46" s="9"/>
      <c r="G46" s="9"/>
      <c r="H46" s="9"/>
    </row>
    <row r="47" spans="1:8" ht="15.75" customHeight="1" x14ac:dyDescent="0.3">
      <c r="A47" s="23" t="s">
        <v>120</v>
      </c>
      <c r="B47" s="20" t="s">
        <v>121</v>
      </c>
      <c r="C47" s="30">
        <v>0.01</v>
      </c>
      <c r="D47" s="21" t="s">
        <v>118</v>
      </c>
      <c r="E47" s="10" t="s">
        <v>122</v>
      </c>
      <c r="F47" s="10"/>
      <c r="G47" s="10"/>
      <c r="H47" s="10"/>
    </row>
    <row r="48" spans="1:8" ht="15.75" customHeight="1" x14ac:dyDescent="0.3">
      <c r="A48" s="23" t="s">
        <v>123</v>
      </c>
      <c r="B48" s="25" t="s">
        <v>124</v>
      </c>
      <c r="C48" s="30">
        <v>0.05</v>
      </c>
      <c r="D48" s="27" t="s">
        <v>118</v>
      </c>
      <c r="E48" s="9" t="s">
        <v>125</v>
      </c>
      <c r="F48" s="9"/>
      <c r="G48" s="9"/>
      <c r="H48" s="9"/>
    </row>
    <row r="49" spans="1:8" ht="15.75" customHeight="1" x14ac:dyDescent="0.3">
      <c r="A49" s="23" t="s">
        <v>126</v>
      </c>
      <c r="B49" s="20" t="s">
        <v>127</v>
      </c>
      <c r="C49" s="33">
        <v>0.02</v>
      </c>
      <c r="D49" s="21" t="s">
        <v>67</v>
      </c>
      <c r="E49" s="10" t="s">
        <v>128</v>
      </c>
      <c r="F49" s="10"/>
      <c r="G49" s="10"/>
      <c r="H49" s="10"/>
    </row>
    <row r="50" spans="1:8" ht="15.75" customHeight="1" x14ac:dyDescent="0.3">
      <c r="A50" s="23" t="s">
        <v>129</v>
      </c>
      <c r="B50" s="25" t="s">
        <v>130</v>
      </c>
      <c r="C50" s="30">
        <v>0.02</v>
      </c>
      <c r="D50" s="27" t="s">
        <v>71</v>
      </c>
      <c r="E50" s="9" t="s">
        <v>131</v>
      </c>
      <c r="F50" s="9"/>
      <c r="G50" s="9"/>
      <c r="H50" s="9"/>
    </row>
    <row r="51" spans="1:8" ht="15.75" customHeight="1" x14ac:dyDescent="0.3">
      <c r="A51" s="23" t="s">
        <v>132</v>
      </c>
      <c r="B51" s="20" t="s">
        <v>133</v>
      </c>
      <c r="C51" s="30">
        <v>0.09</v>
      </c>
      <c r="D51" s="21" t="s">
        <v>71</v>
      </c>
      <c r="E51" s="10" t="s">
        <v>134</v>
      </c>
      <c r="F51" s="10"/>
      <c r="G51" s="10"/>
      <c r="H51" s="10"/>
    </row>
    <row r="52" spans="1:8" ht="15.75" customHeight="1" x14ac:dyDescent="0.3">
      <c r="A52" s="23" t="s">
        <v>135</v>
      </c>
      <c r="B52" s="17" t="s">
        <v>136</v>
      </c>
      <c r="C52" s="35">
        <v>470</v>
      </c>
      <c r="D52" s="27" t="s">
        <v>137</v>
      </c>
      <c r="E52" s="11" t="s">
        <v>138</v>
      </c>
      <c r="F52" s="11"/>
      <c r="G52" s="11"/>
      <c r="H52" s="11"/>
    </row>
    <row r="53" spans="1:8" ht="15.75" customHeight="1" x14ac:dyDescent="0.3">
      <c r="A53" s="23" t="s">
        <v>139</v>
      </c>
      <c r="B53" s="17" t="s">
        <v>140</v>
      </c>
      <c r="C53" s="35">
        <v>0</v>
      </c>
      <c r="D53" s="27" t="s">
        <v>137</v>
      </c>
      <c r="E53" s="11" t="s">
        <v>141</v>
      </c>
      <c r="F53" s="11"/>
      <c r="G53" s="11"/>
      <c r="H53" s="11"/>
    </row>
    <row r="54" spans="1:8" ht="15.75" customHeight="1" x14ac:dyDescent="0.3">
      <c r="A54" s="23" t="s">
        <v>142</v>
      </c>
      <c r="B54" s="25" t="s">
        <v>143</v>
      </c>
      <c r="C54" s="36">
        <v>5</v>
      </c>
      <c r="D54" s="27" t="s">
        <v>144</v>
      </c>
      <c r="E54" s="9" t="s">
        <v>145</v>
      </c>
      <c r="F54" s="9"/>
      <c r="G54" s="9"/>
      <c r="H54" s="9"/>
    </row>
    <row r="55" spans="1:8" ht="15.75" customHeight="1" x14ac:dyDescent="0.3">
      <c r="A55" s="23" t="s">
        <v>146</v>
      </c>
      <c r="B55" s="20" t="s">
        <v>147</v>
      </c>
      <c r="C55" s="30">
        <v>31</v>
      </c>
      <c r="D55" s="21" t="s">
        <v>137</v>
      </c>
      <c r="E55" s="10" t="s">
        <v>148</v>
      </c>
      <c r="F55" s="10"/>
      <c r="G55" s="10"/>
      <c r="H55" s="10"/>
    </row>
    <row r="56" spans="1:8" ht="15.75" customHeight="1" x14ac:dyDescent="0.3">
      <c r="A56" s="23" t="s">
        <v>149</v>
      </c>
      <c r="B56" s="25" t="s">
        <v>150</v>
      </c>
      <c r="C56" s="30">
        <v>1</v>
      </c>
      <c r="D56" s="27" t="s">
        <v>137</v>
      </c>
      <c r="E56" s="9" t="s">
        <v>151</v>
      </c>
      <c r="F56" s="9"/>
      <c r="G56" s="9"/>
      <c r="H56" s="9"/>
    </row>
    <row r="57" spans="1:8" ht="15.75" customHeight="1" x14ac:dyDescent="0.3">
      <c r="A57" s="23" t="s">
        <v>152</v>
      </c>
      <c r="B57" s="20" t="s">
        <v>153</v>
      </c>
      <c r="C57" s="36">
        <v>5</v>
      </c>
      <c r="D57" s="21" t="s">
        <v>154</v>
      </c>
      <c r="E57" s="10" t="s">
        <v>155</v>
      </c>
      <c r="F57" s="10"/>
      <c r="G57" s="10"/>
      <c r="H57" s="10"/>
    </row>
    <row r="58" spans="1:8" ht="15.75" customHeight="1" x14ac:dyDescent="0.3">
      <c r="A58" s="23" t="s">
        <v>156</v>
      </c>
      <c r="B58" s="25" t="s">
        <v>157</v>
      </c>
      <c r="C58" s="30">
        <v>2</v>
      </c>
      <c r="D58" s="27" t="s">
        <v>137</v>
      </c>
      <c r="E58" s="9" t="s">
        <v>158</v>
      </c>
      <c r="F58" s="9"/>
      <c r="G58" s="9"/>
      <c r="H58" s="9"/>
    </row>
    <row r="59" spans="1:8" ht="15.75" customHeight="1" x14ac:dyDescent="0.3">
      <c r="A59" s="23" t="s">
        <v>159</v>
      </c>
      <c r="B59" s="20" t="s">
        <v>160</v>
      </c>
      <c r="C59" s="30">
        <v>10</v>
      </c>
      <c r="D59" s="21" t="s">
        <v>137</v>
      </c>
      <c r="E59" s="10" t="s">
        <v>161</v>
      </c>
      <c r="F59" s="10"/>
      <c r="G59" s="10"/>
      <c r="H59" s="10"/>
    </row>
    <row r="60" spans="1:8" ht="15.75" customHeight="1" x14ac:dyDescent="0.3">
      <c r="A60" s="23" t="s">
        <v>162</v>
      </c>
      <c r="B60" s="25" t="s">
        <v>163</v>
      </c>
      <c r="C60" s="30">
        <v>65</v>
      </c>
      <c r="D60" s="27" t="s">
        <v>137</v>
      </c>
      <c r="E60" s="9" t="s">
        <v>164</v>
      </c>
      <c r="F60" s="9"/>
      <c r="G60" s="9"/>
      <c r="H60" s="9"/>
    </row>
    <row r="61" spans="1:8" ht="15.75" customHeight="1" x14ac:dyDescent="0.3">
      <c r="A61" s="23" t="s">
        <v>165</v>
      </c>
      <c r="B61" s="20" t="s">
        <v>166</v>
      </c>
      <c r="C61" s="30">
        <v>86</v>
      </c>
      <c r="D61" s="21" t="s">
        <v>137</v>
      </c>
      <c r="E61" s="10" t="s">
        <v>167</v>
      </c>
      <c r="F61" s="10"/>
      <c r="G61" s="10"/>
      <c r="H61" s="10"/>
    </row>
    <row r="62" spans="1:8" ht="15.75" customHeight="1" x14ac:dyDescent="0.3">
      <c r="A62" s="23" t="s">
        <v>168</v>
      </c>
      <c r="B62" s="25" t="s">
        <v>169</v>
      </c>
      <c r="C62" s="30">
        <v>39</v>
      </c>
      <c r="D62" s="27" t="s">
        <v>137</v>
      </c>
      <c r="E62" s="9" t="s">
        <v>170</v>
      </c>
      <c r="F62" s="9"/>
      <c r="G62" s="9"/>
      <c r="H62" s="9"/>
    </row>
    <row r="63" spans="1:8" ht="15.75" customHeight="1" x14ac:dyDescent="0.3">
      <c r="A63" s="23" t="s">
        <v>171</v>
      </c>
      <c r="B63" s="20" t="s">
        <v>172</v>
      </c>
      <c r="C63" s="30">
        <v>1.2500000000000001E-2</v>
      </c>
      <c r="D63" s="21" t="s">
        <v>71</v>
      </c>
      <c r="E63" s="10" t="s">
        <v>173</v>
      </c>
      <c r="F63" s="10"/>
      <c r="G63" s="10"/>
      <c r="H63" s="10"/>
    </row>
    <row r="64" spans="1:8" ht="15.75" customHeight="1" x14ac:dyDescent="0.3">
      <c r="A64" s="23" t="s">
        <v>174</v>
      </c>
      <c r="B64" s="25" t="s">
        <v>175</v>
      </c>
      <c r="C64" s="33">
        <v>0.05</v>
      </c>
      <c r="D64" s="27" t="s">
        <v>67</v>
      </c>
      <c r="E64" s="9" t="s">
        <v>176</v>
      </c>
      <c r="F64" s="9"/>
      <c r="G64" s="9"/>
      <c r="H64" s="9"/>
    </row>
    <row r="65" spans="1:8" ht="15.75" customHeight="1" x14ac:dyDescent="0.3">
      <c r="A65" s="23" t="s">
        <v>177</v>
      </c>
      <c r="B65" s="20" t="s">
        <v>178</v>
      </c>
      <c r="C65" s="30">
        <v>35523.120000000003</v>
      </c>
      <c r="D65" s="21" t="s">
        <v>137</v>
      </c>
      <c r="E65" s="10" t="s">
        <v>179</v>
      </c>
      <c r="F65" s="10"/>
      <c r="G65" s="10"/>
      <c r="H65" s="10"/>
    </row>
  </sheetData>
  <mergeCells count="59">
    <mergeCell ref="E62:H62"/>
    <mergeCell ref="E63:H63"/>
    <mergeCell ref="E64:H64"/>
    <mergeCell ref="E65:H65"/>
    <mergeCell ref="E57:H57"/>
    <mergeCell ref="E58:H58"/>
    <mergeCell ref="E59:H59"/>
    <mergeCell ref="E60:H60"/>
    <mergeCell ref="E61:H61"/>
    <mergeCell ref="E52:H52"/>
    <mergeCell ref="E53:H53"/>
    <mergeCell ref="E54:H54"/>
    <mergeCell ref="E55:H55"/>
    <mergeCell ref="E56:H56"/>
    <mergeCell ref="E47:H47"/>
    <mergeCell ref="E48:H48"/>
    <mergeCell ref="E49:H49"/>
    <mergeCell ref="E50:H50"/>
    <mergeCell ref="E51:H51"/>
    <mergeCell ref="E42:H42"/>
    <mergeCell ref="E43:H43"/>
    <mergeCell ref="E44:H44"/>
    <mergeCell ref="E45:H45"/>
    <mergeCell ref="E46:H46"/>
    <mergeCell ref="A36:H36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25:H25"/>
    <mergeCell ref="E26:H26"/>
    <mergeCell ref="E27:H27"/>
    <mergeCell ref="E28:H28"/>
    <mergeCell ref="E29:H29"/>
    <mergeCell ref="E18:H18"/>
    <mergeCell ref="E19:H19"/>
    <mergeCell ref="A21:H21"/>
    <mergeCell ref="E23:H23"/>
    <mergeCell ref="E24:H24"/>
    <mergeCell ref="E13:H13"/>
    <mergeCell ref="E14:H14"/>
    <mergeCell ref="E15:H15"/>
    <mergeCell ref="E16:H16"/>
    <mergeCell ref="E17:H17"/>
    <mergeCell ref="E8:H8"/>
    <mergeCell ref="E9:H9"/>
    <mergeCell ref="E10:H10"/>
    <mergeCell ref="E11:H11"/>
    <mergeCell ref="E12:H12"/>
    <mergeCell ref="A1:H1"/>
    <mergeCell ref="A2:H2"/>
    <mergeCell ref="A4:H4"/>
    <mergeCell ref="E6:H6"/>
    <mergeCell ref="E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topLeftCell="A8" zoomScaleNormal="100" workbookViewId="0">
      <selection sqref="A1:L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  <col min="4" max="5" width="14" customWidth="1"/>
    <col min="6" max="6" width="12" customWidth="1"/>
    <col min="7" max="12" width="14" customWidth="1"/>
  </cols>
  <sheetData>
    <row r="1" spans="1:12" ht="27.75" customHeight="1" x14ac:dyDescent="0.3">
      <c r="A1" s="14" t="s">
        <v>180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2.75" customHeight="1" x14ac:dyDescent="0.3">
      <c r="A2" s="13" t="s">
        <v>181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8" customHeight="1" x14ac:dyDescent="0.3">
      <c r="A4" s="5" t="s">
        <v>182</v>
      </c>
      <c r="B4" s="5"/>
      <c r="C4" s="5"/>
      <c r="D4" s="4" t="s">
        <v>183</v>
      </c>
      <c r="E4" s="4"/>
      <c r="F4" s="4"/>
      <c r="G4" s="3" t="s">
        <v>184</v>
      </c>
      <c r="H4" s="3"/>
      <c r="I4" s="3"/>
      <c r="J4" s="2" t="s">
        <v>185</v>
      </c>
      <c r="K4" s="2"/>
      <c r="L4" s="2"/>
    </row>
    <row r="5" spans="1:12" ht="33.75" customHeight="1" x14ac:dyDescent="0.3">
      <c r="A5" s="1">
        <f>Assumptions!C65</f>
        <v>35523.120000000003</v>
      </c>
      <c r="B5" s="1"/>
      <c r="C5" s="1"/>
      <c r="D5" s="203">
        <f>'Cost Comparison'!B37</f>
        <v>6196.0457703526999</v>
      </c>
      <c r="E5" s="203"/>
      <c r="F5" s="203"/>
      <c r="G5" s="204">
        <f>Assumptions!C65-'Cost Comparison'!B37</f>
        <v>29327.074229647304</v>
      </c>
      <c r="H5" s="204"/>
      <c r="I5" s="204"/>
      <c r="J5" s="205">
        <f>'Migration Plan &amp; Costs'!C60</f>
        <v>121370.23417263363</v>
      </c>
      <c r="K5" s="205"/>
      <c r="L5" s="205"/>
    </row>
    <row r="6" spans="1:12" ht="32.4" customHeight="1" x14ac:dyDescent="0.3">
      <c r="A6" s="206" t="str">
        <f>"$"&amp;TEXT(Assumptions!C65*12,"#,##0")&amp;"/yr  |  1,042 TiB  |  5 Azure regions"</f>
        <v>$426,277/yr  |  1,042 TiB  |  5 Azure regions</v>
      </c>
      <c r="B6" s="206"/>
      <c r="C6" s="206"/>
      <c r="D6" s="206" t="str">
        <f>"$"&amp;TEXT('Cost Comparison'!B37*12,"#,##0")&amp;"/yr  |  S3 storage + Gateway appliance"</f>
        <v>$74,353/yr  |  S3 storage + Gateway appliance</v>
      </c>
      <c r="E6" s="206"/>
      <c r="F6" s="206"/>
      <c r="G6" s="206" t="str">
        <f>"$"&amp;TEXT((Assumptions!C65-'Cost Comparison'!B37)*12,"#,##0")&amp;"/yr saved  |  "&amp;TEXT((Assumptions!C65-'Cost Comparison'!B37)/Assumptions!C65,"0%")&amp;" cost reduction"</f>
        <v>$351,925/yr saved  |  83% cost reduction</v>
      </c>
      <c r="H6" s="206"/>
      <c r="I6" s="206"/>
      <c r="J6" s="207" t="str">
        <f>"Payback: ~"&amp;TEXT(('Migration Plan &amp; Costs'!B60+'Financial Model (Jun26-Dec30)'!B11)/(Assumptions!C65-'Cost Comparison'!B37),"0.0")&amp;" months after migration  (Jan 2027 + migration cost + Phase 1 AWS overlap)"</f>
        <v>Payback: ~5.0 months after migration  (Jan 2027 + migration cost + Phase 1 AWS overlap)</v>
      </c>
      <c r="K6" s="207"/>
      <c r="L6" s="207"/>
    </row>
    <row r="7" spans="1:12" ht="32.4" customHeight="1" x14ac:dyDescent="0.3"/>
    <row r="8" spans="1:12" ht="18" customHeight="1" x14ac:dyDescent="0.3">
      <c r="A8" s="12" t="s">
        <v>186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27.75" customHeight="1" x14ac:dyDescent="0.3">
      <c r="A9" s="15" t="s">
        <v>187</v>
      </c>
      <c r="B9" s="15" t="s">
        <v>188</v>
      </c>
      <c r="C9" s="15" t="s">
        <v>189</v>
      </c>
      <c r="D9" s="15" t="s">
        <v>190</v>
      </c>
      <c r="E9" s="15" t="s">
        <v>191</v>
      </c>
      <c r="F9" s="15" t="s">
        <v>192</v>
      </c>
      <c r="G9" s="15" t="s">
        <v>193</v>
      </c>
      <c r="H9" s="15" t="s">
        <v>194</v>
      </c>
      <c r="I9" s="15"/>
      <c r="J9" s="15"/>
      <c r="K9" s="15"/>
      <c r="L9" s="15"/>
    </row>
    <row r="10" spans="1:12" ht="15.75" customHeight="1" x14ac:dyDescent="0.3">
      <c r="A10" s="40" t="s">
        <v>195</v>
      </c>
      <c r="B10" s="41" t="s">
        <v>196</v>
      </c>
      <c r="C10" s="18">
        <v>221472.95</v>
      </c>
      <c r="D10" s="42" t="s">
        <v>197</v>
      </c>
      <c r="E10" s="43">
        <v>5798.59</v>
      </c>
      <c r="F10" s="43">
        <v>1882.71</v>
      </c>
      <c r="G10" s="44">
        <f>E10+F10</f>
        <v>7681.3</v>
      </c>
      <c r="H10" s="208" t="s">
        <v>198</v>
      </c>
      <c r="I10" s="208"/>
      <c r="J10" s="208"/>
      <c r="K10" s="208"/>
      <c r="L10" s="208"/>
    </row>
    <row r="11" spans="1:12" ht="15.75" customHeight="1" x14ac:dyDescent="0.3">
      <c r="A11" s="45" t="s">
        <v>199</v>
      </c>
      <c r="B11" s="46" t="s">
        <v>200</v>
      </c>
      <c r="C11" s="18">
        <v>48444.2</v>
      </c>
      <c r="D11" s="47" t="s">
        <v>197</v>
      </c>
      <c r="E11" s="43">
        <v>1337.27</v>
      </c>
      <c r="F11" s="43">
        <v>411.82</v>
      </c>
      <c r="G11" s="44">
        <f>E11+F11</f>
        <v>1749.09</v>
      </c>
      <c r="H11" s="209" t="s">
        <v>198</v>
      </c>
      <c r="I11" s="209"/>
      <c r="J11" s="209"/>
      <c r="K11" s="209"/>
      <c r="L11" s="209"/>
    </row>
    <row r="12" spans="1:12" ht="15.75" customHeight="1" x14ac:dyDescent="0.3">
      <c r="A12" s="40" t="s">
        <v>201</v>
      </c>
      <c r="B12" s="41" t="s">
        <v>202</v>
      </c>
      <c r="C12" s="18">
        <v>374040.18</v>
      </c>
      <c r="D12" s="42" t="s">
        <v>197</v>
      </c>
      <c r="E12" s="43">
        <v>9432.17</v>
      </c>
      <c r="F12" s="43">
        <v>3179.68</v>
      </c>
      <c r="G12" s="44">
        <f>E12+F12</f>
        <v>12611.85</v>
      </c>
      <c r="H12" s="208" t="s">
        <v>198</v>
      </c>
      <c r="I12" s="208"/>
      <c r="J12" s="208"/>
      <c r="K12" s="208"/>
      <c r="L12" s="208"/>
    </row>
    <row r="13" spans="1:12" ht="15.75" customHeight="1" x14ac:dyDescent="0.3">
      <c r="A13" s="45" t="s">
        <v>203</v>
      </c>
      <c r="B13" s="46" t="s">
        <v>204</v>
      </c>
      <c r="C13" s="18">
        <v>349749.29</v>
      </c>
      <c r="D13" s="47" t="s">
        <v>197</v>
      </c>
      <c r="E13" s="43">
        <v>8299.36</v>
      </c>
      <c r="F13" s="43">
        <v>2973.19</v>
      </c>
      <c r="G13" s="44">
        <f>E13+F13</f>
        <v>11272.550000000001</v>
      </c>
      <c r="H13" s="209" t="s">
        <v>198</v>
      </c>
      <c r="I13" s="209"/>
      <c r="J13" s="209"/>
      <c r="K13" s="209"/>
      <c r="L13" s="209"/>
    </row>
    <row r="14" spans="1:12" ht="15.75" customHeight="1" x14ac:dyDescent="0.3">
      <c r="A14" s="40" t="s">
        <v>205</v>
      </c>
      <c r="B14" s="41" t="s">
        <v>206</v>
      </c>
      <c r="C14" s="18">
        <v>72998.02</v>
      </c>
      <c r="D14" s="42" t="s">
        <v>197</v>
      </c>
      <c r="E14" s="43">
        <v>1587.78</v>
      </c>
      <c r="F14" s="43">
        <v>620.54999999999995</v>
      </c>
      <c r="G14" s="44">
        <f>E14+F14</f>
        <v>2208.33</v>
      </c>
      <c r="H14" s="208" t="s">
        <v>198</v>
      </c>
      <c r="I14" s="208"/>
      <c r="J14" s="208"/>
      <c r="K14" s="208"/>
      <c r="L14" s="208"/>
    </row>
    <row r="15" spans="1:12" ht="18" customHeight="1" x14ac:dyDescent="0.3">
      <c r="A15" s="48" t="s">
        <v>207</v>
      </c>
      <c r="B15" s="37" t="s">
        <v>208</v>
      </c>
      <c r="C15" s="49">
        <f>SUM(C10:C14)</f>
        <v>1066704.6400000001</v>
      </c>
      <c r="D15" s="50" t="s">
        <v>209</v>
      </c>
      <c r="E15" s="51">
        <f>SUM(E10:E14)</f>
        <v>26455.17</v>
      </c>
      <c r="F15" s="51">
        <f>SUM(F10:F14)</f>
        <v>9067.9499999999989</v>
      </c>
      <c r="G15" s="51">
        <f>SUM(G10:G14)</f>
        <v>35523.120000000003</v>
      </c>
      <c r="H15" s="50" t="s">
        <v>210</v>
      </c>
      <c r="I15" s="52"/>
      <c r="J15" s="52"/>
      <c r="K15" s="52"/>
      <c r="L15" s="52"/>
    </row>
    <row r="17" spans="1:12" ht="18" customHeight="1" x14ac:dyDescent="0.3">
      <c r="A17" s="210" t="s">
        <v>211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</row>
    <row r="18" spans="1:12" ht="24" customHeight="1" x14ac:dyDescent="0.3">
      <c r="A18" s="37" t="s">
        <v>212</v>
      </c>
      <c r="B18" s="37" t="s">
        <v>213</v>
      </c>
      <c r="C18" s="37" t="s">
        <v>214</v>
      </c>
      <c r="D18" s="37" t="s">
        <v>215</v>
      </c>
      <c r="E18" s="37" t="s">
        <v>216</v>
      </c>
      <c r="F18" s="37" t="s">
        <v>217</v>
      </c>
      <c r="G18" s="54"/>
      <c r="H18" s="54"/>
      <c r="I18" s="54"/>
      <c r="J18" s="54"/>
      <c r="K18" s="54"/>
      <c r="L18" s="54"/>
    </row>
    <row r="19" spans="1:12" ht="18" customHeight="1" x14ac:dyDescent="0.3">
      <c r="A19" s="16" t="s">
        <v>218</v>
      </c>
      <c r="B19" s="46" t="s">
        <v>219</v>
      </c>
      <c r="C19" s="24">
        <f>Assumptions!C6</f>
        <v>7775.51</v>
      </c>
      <c r="D19" s="24">
        <f t="shared" ref="D19:D24" si="0">C19/1024</f>
        <v>7.5932714843750002</v>
      </c>
      <c r="E19" s="55">
        <f>C19/Assumptions!C13</f>
        <v>7.2892811265918922E-3</v>
      </c>
      <c r="F19" s="56">
        <f>Assumptions!C23</f>
        <v>0.02</v>
      </c>
      <c r="G19" s="211"/>
      <c r="H19" s="211"/>
      <c r="I19" s="211"/>
      <c r="J19" s="211"/>
      <c r="K19" s="211"/>
      <c r="L19" s="211"/>
    </row>
    <row r="20" spans="1:12" ht="18" customHeight="1" x14ac:dyDescent="0.3">
      <c r="A20" s="16" t="s">
        <v>220</v>
      </c>
      <c r="B20" s="41" t="s">
        <v>219</v>
      </c>
      <c r="C20" s="57">
        <f>Assumptions!C7</f>
        <v>7401.73</v>
      </c>
      <c r="D20" s="57">
        <f t="shared" si="0"/>
        <v>7.2282519531249996</v>
      </c>
      <c r="E20" s="58">
        <f>C20/Assumptions!C13</f>
        <v>6.9388748510553011E-3</v>
      </c>
      <c r="F20" s="59">
        <f>Assumptions!C23</f>
        <v>0.02</v>
      </c>
      <c r="G20" s="212"/>
      <c r="H20" s="212"/>
      <c r="I20" s="212"/>
      <c r="J20" s="212"/>
      <c r="K20" s="212"/>
      <c r="L20" s="212"/>
    </row>
    <row r="21" spans="1:12" ht="18" customHeight="1" x14ac:dyDescent="0.3">
      <c r="A21" s="16" t="s">
        <v>221</v>
      </c>
      <c r="B21" s="46" t="s">
        <v>222</v>
      </c>
      <c r="C21" s="24">
        <f>Assumptions!C8</f>
        <v>165555.92000000001</v>
      </c>
      <c r="D21" s="24">
        <f t="shared" si="0"/>
        <v>161.67570312500001</v>
      </c>
      <c r="E21" s="55">
        <f>C21/Assumptions!C13</f>
        <v>0.15520314976786825</v>
      </c>
      <c r="F21" s="56">
        <f>Assumptions!C24</f>
        <v>1.4999999999999999E-2</v>
      </c>
      <c r="G21" s="211"/>
      <c r="H21" s="211"/>
      <c r="I21" s="211"/>
      <c r="J21" s="211"/>
      <c r="K21" s="211"/>
      <c r="L21" s="211"/>
    </row>
    <row r="22" spans="1:12" ht="18" customHeight="1" x14ac:dyDescent="0.3">
      <c r="A22" s="16" t="s">
        <v>223</v>
      </c>
      <c r="B22" s="41" t="s">
        <v>224</v>
      </c>
      <c r="C22" s="57">
        <f>Assumptions!C9</f>
        <v>3195.69</v>
      </c>
      <c r="D22" s="57">
        <f t="shared" si="0"/>
        <v>3.1207910156250001</v>
      </c>
      <c r="E22" s="58">
        <f>C22/Assumptions!C13</f>
        <v>2.9958527226430737E-3</v>
      </c>
      <c r="F22" s="59">
        <f>Assumptions!C25</f>
        <v>0.01</v>
      </c>
      <c r="G22" s="212"/>
      <c r="H22" s="212"/>
      <c r="I22" s="212"/>
      <c r="J22" s="212"/>
      <c r="K22" s="212"/>
      <c r="L22" s="212"/>
    </row>
    <row r="23" spans="1:12" ht="18" customHeight="1" x14ac:dyDescent="0.3">
      <c r="A23" s="16" t="s">
        <v>225</v>
      </c>
      <c r="B23" s="46" t="s">
        <v>226</v>
      </c>
      <c r="C23" s="24">
        <f>Assumptions!C10</f>
        <v>882775.79</v>
      </c>
      <c r="D23" s="24">
        <f t="shared" si="0"/>
        <v>862.08573242187504</v>
      </c>
      <c r="E23" s="55">
        <f>C23/Assumptions!C13</f>
        <v>0.82757284153184141</v>
      </c>
      <c r="F23" s="56">
        <f>Assumptions!C26</f>
        <v>2E-3</v>
      </c>
      <c r="G23" s="211"/>
      <c r="H23" s="211"/>
      <c r="I23" s="211"/>
      <c r="J23" s="211"/>
      <c r="K23" s="211"/>
      <c r="L23" s="211"/>
    </row>
    <row r="24" spans="1:12" ht="19.5" customHeight="1" x14ac:dyDescent="0.3">
      <c r="A24" s="48" t="s">
        <v>227</v>
      </c>
      <c r="B24" s="54"/>
      <c r="C24" s="49">
        <f>Assumptions!C13</f>
        <v>1066704.6400000001</v>
      </c>
      <c r="D24" s="49">
        <f t="shared" si="0"/>
        <v>1041.7037500000001</v>
      </c>
      <c r="E24" s="60">
        <f>SUM(E19:E23)</f>
        <v>1</v>
      </c>
      <c r="F24" s="54"/>
      <c r="G24" s="213"/>
      <c r="H24" s="213"/>
      <c r="I24" s="213"/>
      <c r="J24" s="213"/>
      <c r="K24" s="213"/>
      <c r="L24" s="213"/>
    </row>
    <row r="25" spans="1:12" ht="15" customHeight="1" x14ac:dyDescent="0.3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</row>
  </sheetData>
  <mergeCells count="27">
    <mergeCell ref="G22:L22"/>
    <mergeCell ref="G23:L23"/>
    <mergeCell ref="G24:L24"/>
    <mergeCell ref="H14:L14"/>
    <mergeCell ref="A17:L17"/>
    <mergeCell ref="G19:L19"/>
    <mergeCell ref="G20:L20"/>
    <mergeCell ref="G21:L21"/>
    <mergeCell ref="A8:L8"/>
    <mergeCell ref="H10:L10"/>
    <mergeCell ref="H11:L11"/>
    <mergeCell ref="H12:L12"/>
    <mergeCell ref="H13:L13"/>
    <mergeCell ref="A5:C5"/>
    <mergeCell ref="D5:F5"/>
    <mergeCell ref="G5:I5"/>
    <mergeCell ref="J5:L5"/>
    <mergeCell ref="A6:C6"/>
    <mergeCell ref="D6:F6"/>
    <mergeCell ref="G6:I6"/>
    <mergeCell ref="J6:L6"/>
    <mergeCell ref="A1:L1"/>
    <mergeCell ref="A2:L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0"/>
  <sheetViews>
    <sheetView showGridLines="0" topLeftCell="A25" zoomScaleNormal="100" workbookViewId="0">
      <selection sqref="A1:N1"/>
    </sheetView>
  </sheetViews>
  <sheetFormatPr defaultColWidth="8.6640625" defaultRowHeight="14.4" x14ac:dyDescent="0.3"/>
  <cols>
    <col min="1" max="1" width="38" customWidth="1"/>
    <col min="2" max="2" width="16" customWidth="1"/>
    <col min="3" max="5" width="14" customWidth="1"/>
    <col min="6" max="6" width="36" customWidth="1"/>
    <col min="7" max="13" width="1" customWidth="1"/>
    <col min="14" max="14" width="17.21875" customWidth="1"/>
  </cols>
  <sheetData>
    <row r="1" spans="1:14" ht="27.75" customHeight="1" x14ac:dyDescent="0.3">
      <c r="A1" s="14" t="s">
        <v>228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2.75" customHeight="1" x14ac:dyDescent="0.3">
      <c r="A2" s="13" t="s">
        <v>229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8" customHeight="1" x14ac:dyDescent="0.3">
      <c r="A4" s="12" t="s">
        <v>230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31.5" customHeight="1" x14ac:dyDescent="0.3">
      <c r="A5" s="15" t="s">
        <v>231</v>
      </c>
      <c r="B5" s="15" t="s">
        <v>212</v>
      </c>
      <c r="C5" s="15" t="s">
        <v>217</v>
      </c>
      <c r="D5" s="15" t="s">
        <v>232</v>
      </c>
      <c r="E5" s="15" t="s">
        <v>233</v>
      </c>
      <c r="F5" s="15" t="s">
        <v>234</v>
      </c>
      <c r="G5" s="15" t="s">
        <v>232</v>
      </c>
      <c r="H5" s="15" t="s">
        <v>235</v>
      </c>
      <c r="I5" s="15" t="s">
        <v>232</v>
      </c>
      <c r="J5" s="15" t="s">
        <v>236</v>
      </c>
      <c r="K5" s="15" t="s">
        <v>237</v>
      </c>
      <c r="L5" s="15"/>
      <c r="M5" s="15"/>
      <c r="N5" s="15"/>
    </row>
    <row r="6" spans="1:14" ht="19.5" customHeight="1" x14ac:dyDescent="0.3">
      <c r="A6" s="16" t="s">
        <v>238</v>
      </c>
      <c r="B6" s="19" t="s">
        <v>238</v>
      </c>
      <c r="C6" s="59">
        <f>Assumptions!C23</f>
        <v>0.02</v>
      </c>
      <c r="D6" s="62" t="str">
        <f>Assumptions!C22</f>
        <v>Value</v>
      </c>
      <c r="E6" s="41" t="s">
        <v>219</v>
      </c>
      <c r="F6" s="63">
        <f>(Assumptions!C38+Assumptions!C39)/2</f>
        <v>2.35E-2</v>
      </c>
      <c r="G6" s="62" t="s">
        <v>239</v>
      </c>
      <c r="H6" s="64">
        <f>Assumptions!C27</f>
        <v>0.34279999999999999</v>
      </c>
      <c r="I6" s="65">
        <f>Assumptions!C26</f>
        <v>2E-3</v>
      </c>
      <c r="J6" s="19" t="s">
        <v>240</v>
      </c>
      <c r="K6" s="214" t="s">
        <v>241</v>
      </c>
      <c r="L6" s="214"/>
      <c r="M6" s="214"/>
      <c r="N6" s="214"/>
    </row>
    <row r="7" spans="1:14" ht="19.5" customHeight="1" x14ac:dyDescent="0.3">
      <c r="A7" s="16" t="s">
        <v>221</v>
      </c>
      <c r="B7" s="21" t="s">
        <v>221</v>
      </c>
      <c r="C7" s="56">
        <f>Assumptions!C24</f>
        <v>1.4999999999999999E-2</v>
      </c>
      <c r="D7" s="67">
        <f>Assumptions!C23</f>
        <v>0.02</v>
      </c>
      <c r="E7" s="46" t="s">
        <v>222</v>
      </c>
      <c r="F7" s="68">
        <f>(Assumptions!C40+Assumptions!C41)/2</f>
        <v>1.2750000000000001E-2</v>
      </c>
      <c r="G7" s="69">
        <f>(Assumptions!C38+Assumptions!C39)/2</f>
        <v>2.35E-2</v>
      </c>
      <c r="H7" s="70">
        <f>Assumptions!C27</f>
        <v>0.34279999999999999</v>
      </c>
      <c r="I7" s="67">
        <f>Assumptions!C26</f>
        <v>2E-3</v>
      </c>
      <c r="J7" s="21" t="s">
        <v>242</v>
      </c>
      <c r="K7" s="215" t="s">
        <v>243</v>
      </c>
      <c r="L7" s="215"/>
      <c r="M7" s="215"/>
      <c r="N7" s="215"/>
    </row>
    <row r="8" spans="1:14" ht="19.5" customHeight="1" x14ac:dyDescent="0.3">
      <c r="A8" s="16" t="s">
        <v>223</v>
      </c>
      <c r="B8" s="19" t="s">
        <v>223</v>
      </c>
      <c r="C8" s="59">
        <f>Assumptions!C25</f>
        <v>0.01</v>
      </c>
      <c r="D8" s="65">
        <f>Assumptions!C24</f>
        <v>1.4999999999999999E-2</v>
      </c>
      <c r="E8" s="41" t="s">
        <v>224</v>
      </c>
      <c r="F8" s="63">
        <f>(Assumptions!C42+Assumptions!C43)/2</f>
        <v>4.2500000000000003E-3</v>
      </c>
      <c r="G8" s="72">
        <f>(Assumptions!C40+Assumptions!C41)/2</f>
        <v>1.2750000000000001E-2</v>
      </c>
      <c r="H8" s="64">
        <f>Assumptions!C27</f>
        <v>0.34279999999999999</v>
      </c>
      <c r="I8" s="65">
        <f>Assumptions!C26</f>
        <v>2E-3</v>
      </c>
      <c r="J8" s="19" t="s">
        <v>244</v>
      </c>
      <c r="K8" s="214" t="s">
        <v>245</v>
      </c>
      <c r="L8" s="214"/>
      <c r="M8" s="214"/>
      <c r="N8" s="214"/>
    </row>
    <row r="9" spans="1:14" ht="19.5" customHeight="1" x14ac:dyDescent="0.3">
      <c r="A9" s="16" t="s">
        <v>225</v>
      </c>
      <c r="B9" s="21" t="s">
        <v>225</v>
      </c>
      <c r="C9" s="56">
        <f>Assumptions!C26</f>
        <v>2E-3</v>
      </c>
      <c r="D9" s="67">
        <f>Assumptions!C25</f>
        <v>0.01</v>
      </c>
      <c r="E9" s="46" t="s">
        <v>226</v>
      </c>
      <c r="F9" s="68">
        <f>(Assumptions!C44+Assumptions!C45)/2</f>
        <v>9.9500000000000001E-4</v>
      </c>
      <c r="G9" s="69">
        <f>(Assumptions!C42+Assumptions!C43)/2</f>
        <v>4.2500000000000003E-3</v>
      </c>
      <c r="H9" s="70">
        <f>Assumptions!C27</f>
        <v>0.34279999999999999</v>
      </c>
      <c r="I9" s="67">
        <f>Assumptions!C26</f>
        <v>2E-3</v>
      </c>
      <c r="J9" s="21" t="s">
        <v>246</v>
      </c>
      <c r="K9" s="215" t="s">
        <v>247</v>
      </c>
      <c r="L9" s="215"/>
      <c r="M9" s="215"/>
      <c r="N9" s="215"/>
    </row>
    <row r="11" spans="1:14" ht="18" customHeight="1" x14ac:dyDescent="0.3">
      <c r="A11" s="210" t="s">
        <v>248</v>
      </c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</row>
    <row r="12" spans="1:14" ht="31.5" customHeight="1" x14ac:dyDescent="0.3">
      <c r="A12" s="37" t="s">
        <v>249</v>
      </c>
      <c r="B12" s="37" t="s">
        <v>214</v>
      </c>
      <c r="C12" s="37" t="s">
        <v>215</v>
      </c>
      <c r="D12" s="37" t="s">
        <v>250</v>
      </c>
      <c r="E12" s="37" t="s">
        <v>251</v>
      </c>
      <c r="F12" s="37" t="s">
        <v>232</v>
      </c>
      <c r="G12" s="37" t="s">
        <v>252</v>
      </c>
      <c r="H12" s="37" t="s">
        <v>232</v>
      </c>
      <c r="I12" s="37" t="s">
        <v>253</v>
      </c>
      <c r="J12" s="37" t="s">
        <v>232</v>
      </c>
      <c r="K12" s="37" t="s">
        <v>254</v>
      </c>
      <c r="L12" s="37" t="s">
        <v>232</v>
      </c>
      <c r="M12" s="37" t="s">
        <v>255</v>
      </c>
      <c r="N12" s="37" t="s">
        <v>232</v>
      </c>
    </row>
    <row r="13" spans="1:14" ht="19.5" customHeight="1" x14ac:dyDescent="0.3">
      <c r="A13" s="16" t="s">
        <v>238</v>
      </c>
      <c r="B13" s="24">
        <f>Assumptions!C6+Assumptions!C7</f>
        <v>15177.24</v>
      </c>
      <c r="C13" s="24">
        <f>B13/1024</f>
        <v>14.8215234375</v>
      </c>
      <c r="D13" s="73" t="s">
        <v>256</v>
      </c>
      <c r="E13" s="74">
        <f>B13*Assumptions!C11*Assumptions!C23</f>
        <v>326.00711519999999</v>
      </c>
      <c r="F13" s="75" t="s">
        <v>257</v>
      </c>
      <c r="G13" s="74">
        <f>E13*Assumptions!C27</f>
        <v>111.75523909056</v>
      </c>
      <c r="H13" s="75" t="s">
        <v>258</v>
      </c>
      <c r="I13" s="74">
        <f>E13+G13</f>
        <v>437.76235429055998</v>
      </c>
      <c r="J13" s="75" t="s">
        <v>259</v>
      </c>
      <c r="K13" s="44">
        <f>B13*Assumptions!C11*(Assumptions!C38+Assumptions!C39)/2</f>
        <v>383.05836035999999</v>
      </c>
      <c r="L13" s="76" t="s">
        <v>260</v>
      </c>
      <c r="M13" s="77">
        <f>I13-K13</f>
        <v>54.703993930559989</v>
      </c>
      <c r="N13" s="78" t="s">
        <v>261</v>
      </c>
    </row>
    <row r="14" spans="1:14" ht="19.5" customHeight="1" x14ac:dyDescent="0.3">
      <c r="A14" s="16" t="s">
        <v>221</v>
      </c>
      <c r="B14" s="57">
        <f>Assumptions!C8</f>
        <v>165555.92000000001</v>
      </c>
      <c r="C14" s="57">
        <f>B14/1024</f>
        <v>161.67570312500001</v>
      </c>
      <c r="D14" s="62" t="s">
        <v>262</v>
      </c>
      <c r="E14" s="74">
        <f>B14*Assumptions!C11*Assumptions!C24</f>
        <v>2667.1058712000004</v>
      </c>
      <c r="F14" s="75" t="s">
        <v>263</v>
      </c>
      <c r="G14" s="74">
        <f>E14*Assumptions!C27</f>
        <v>914.28389264736006</v>
      </c>
      <c r="H14" s="75" t="s">
        <v>258</v>
      </c>
      <c r="I14" s="74">
        <f>E14+G14</f>
        <v>3581.3897638473604</v>
      </c>
      <c r="J14" s="75" t="s">
        <v>259</v>
      </c>
      <c r="K14" s="44">
        <f>B14*Assumptions!C11*(Assumptions!C40+Assumptions!C41)/2</f>
        <v>2267.0399905200002</v>
      </c>
      <c r="L14" s="76" t="s">
        <v>264</v>
      </c>
      <c r="M14" s="77">
        <f>I14-K14</f>
        <v>1314.3497733273603</v>
      </c>
      <c r="N14" s="78" t="s">
        <v>261</v>
      </c>
    </row>
    <row r="15" spans="1:14" ht="19.5" customHeight="1" x14ac:dyDescent="0.3">
      <c r="A15" s="16" t="s">
        <v>223</v>
      </c>
      <c r="B15" s="24">
        <f>Assumptions!C9</f>
        <v>3195.69</v>
      </c>
      <c r="C15" s="24">
        <f>B15/1024</f>
        <v>3.1207910156250001</v>
      </c>
      <c r="D15" s="73" t="s">
        <v>265</v>
      </c>
      <c r="E15" s="74">
        <f>B15*Assumptions!C11*Assumptions!C25</f>
        <v>34.321710600000003</v>
      </c>
      <c r="F15" s="75" t="s">
        <v>266</v>
      </c>
      <c r="G15" s="74">
        <f>E15*Assumptions!C27</f>
        <v>11.765482393680001</v>
      </c>
      <c r="H15" s="75" t="s">
        <v>258</v>
      </c>
      <c r="I15" s="74">
        <f>E15+G15</f>
        <v>46.087192993680006</v>
      </c>
      <c r="J15" s="75" t="s">
        <v>259</v>
      </c>
      <c r="K15" s="44">
        <f>B15*Assumptions!C11*(Assumptions!C42+Assumptions!C43)/2</f>
        <v>14.586727005000002</v>
      </c>
      <c r="L15" s="76" t="s">
        <v>267</v>
      </c>
      <c r="M15" s="77">
        <f>I15-K15</f>
        <v>31.500465988680006</v>
      </c>
      <c r="N15" s="78" t="s">
        <v>261</v>
      </c>
    </row>
    <row r="16" spans="1:14" ht="19.5" customHeight="1" x14ac:dyDescent="0.3">
      <c r="A16" s="16" t="s">
        <v>225</v>
      </c>
      <c r="B16" s="57">
        <f>Assumptions!C10</f>
        <v>882775.79</v>
      </c>
      <c r="C16" s="57">
        <f>B16/1024</f>
        <v>862.08573242187504</v>
      </c>
      <c r="D16" s="62" t="s">
        <v>268</v>
      </c>
      <c r="E16" s="74">
        <f>B16*Assumptions!C11*Assumptions!C26</f>
        <v>1896.2023969200002</v>
      </c>
      <c r="F16" s="75" t="s">
        <v>269</v>
      </c>
      <c r="G16" s="74">
        <f>E16*Assumptions!C27</f>
        <v>650.01818166417604</v>
      </c>
      <c r="H16" s="75" t="s">
        <v>258</v>
      </c>
      <c r="I16" s="74">
        <f>E16+G16</f>
        <v>2546.2205785841761</v>
      </c>
      <c r="J16" s="75" t="s">
        <v>259</v>
      </c>
      <c r="K16" s="44">
        <f>B16*Assumptions!C11*(Assumptions!C44+Assumptions!C45)/2</f>
        <v>943.36069246770012</v>
      </c>
      <c r="L16" s="76" t="s">
        <v>270</v>
      </c>
      <c r="M16" s="77">
        <f>I16-K16</f>
        <v>1602.859886116476</v>
      </c>
      <c r="N16" s="78" t="s">
        <v>261</v>
      </c>
    </row>
    <row r="17" spans="1:14" ht="19.5" customHeight="1" x14ac:dyDescent="0.3">
      <c r="A17" s="48" t="s">
        <v>271</v>
      </c>
      <c r="B17" s="49">
        <f>SUM(B13:B16)</f>
        <v>1066704.6400000001</v>
      </c>
      <c r="C17" s="49">
        <f>SUM(C13:C16)</f>
        <v>1041.7037500000001</v>
      </c>
      <c r="D17" s="52"/>
      <c r="E17" s="51">
        <f>SUM(E13:E16)</f>
        <v>4923.6370939200006</v>
      </c>
      <c r="F17" s="52"/>
      <c r="G17" s="51">
        <f>SUM(G13:G16)</f>
        <v>1687.8227957957761</v>
      </c>
      <c r="H17" s="52"/>
      <c r="I17" s="51">
        <f>SUM(I13:I16)</f>
        <v>6611.4598897157766</v>
      </c>
      <c r="J17" s="52"/>
      <c r="K17" s="51">
        <f>SUM(K13:K16)</f>
        <v>3608.0457703526999</v>
      </c>
      <c r="L17" s="52"/>
      <c r="M17" s="51">
        <f>SUM(M13:M16)</f>
        <v>3003.4141193630762</v>
      </c>
      <c r="N17" s="52"/>
    </row>
    <row r="19" spans="1:14" ht="18" customHeight="1" x14ac:dyDescent="0.3">
      <c r="A19" s="6" t="s">
        <v>272</v>
      </c>
      <c r="B19" s="6"/>
      <c r="C19" s="6"/>
      <c r="D19" s="6"/>
      <c r="E19" s="6"/>
      <c r="F19" s="6"/>
      <c r="G19" s="61"/>
      <c r="H19" s="61"/>
      <c r="I19" s="61"/>
      <c r="J19" s="61"/>
      <c r="K19" s="61"/>
      <c r="L19" s="61"/>
      <c r="M19" s="61"/>
      <c r="N19" s="61"/>
    </row>
    <row r="20" spans="1:14" ht="24" customHeight="1" x14ac:dyDescent="0.3">
      <c r="A20" s="34" t="s">
        <v>273</v>
      </c>
      <c r="B20" s="34" t="s">
        <v>274</v>
      </c>
      <c r="C20" s="34" t="s">
        <v>275</v>
      </c>
      <c r="D20" s="34" t="s">
        <v>276</v>
      </c>
      <c r="E20" s="34" t="s">
        <v>277</v>
      </c>
      <c r="F20" s="34" t="s">
        <v>237</v>
      </c>
      <c r="G20" s="79"/>
      <c r="H20" s="79"/>
      <c r="I20" s="79"/>
      <c r="J20" s="79"/>
      <c r="K20" s="79"/>
      <c r="L20" s="79"/>
      <c r="M20" s="79"/>
      <c r="N20" s="79"/>
    </row>
    <row r="21" spans="1:14" ht="19.5" customHeight="1" x14ac:dyDescent="0.3">
      <c r="A21" s="23" t="s">
        <v>278</v>
      </c>
      <c r="B21" s="80">
        <f>Assumptions!C54</f>
        <v>5</v>
      </c>
      <c r="C21" s="81">
        <f>Assumptions!C52</f>
        <v>470</v>
      </c>
      <c r="D21" s="82">
        <f t="shared" ref="D21:D29" si="0">B21*C21</f>
        <v>2350</v>
      </c>
      <c r="E21" s="81">
        <f t="shared" ref="E21:E29" si="1">D21*12</f>
        <v>28200</v>
      </c>
      <c r="F21" s="83" t="s">
        <v>279</v>
      </c>
      <c r="G21" s="79"/>
      <c r="H21" s="84"/>
      <c r="I21" s="79"/>
      <c r="J21" s="79"/>
      <c r="K21" s="61"/>
      <c r="L21" s="61"/>
      <c r="M21" s="61"/>
      <c r="N21" s="61"/>
    </row>
    <row r="22" spans="1:14" ht="19.5" customHeight="1" x14ac:dyDescent="0.3">
      <c r="A22" s="23" t="s">
        <v>280</v>
      </c>
      <c r="B22" s="85" t="s">
        <v>281</v>
      </c>
      <c r="C22" s="86">
        <f>Assumptions!C53</f>
        <v>0</v>
      </c>
      <c r="D22" s="82">
        <f t="shared" si="0"/>
        <v>0</v>
      </c>
      <c r="E22" s="86">
        <f t="shared" si="1"/>
        <v>0</v>
      </c>
      <c r="F22" s="87" t="s">
        <v>282</v>
      </c>
      <c r="G22" s="79"/>
      <c r="H22" s="84"/>
      <c r="I22" s="79"/>
      <c r="J22" s="79"/>
      <c r="K22" s="61"/>
      <c r="L22" s="61"/>
      <c r="M22" s="61"/>
      <c r="N22" s="61"/>
    </row>
    <row r="23" spans="1:14" ht="19.5" customHeight="1" x14ac:dyDescent="0.3">
      <c r="A23" s="23" t="s">
        <v>283</v>
      </c>
      <c r="B23" s="80" t="s">
        <v>281</v>
      </c>
      <c r="C23" s="81">
        <f>Assumptions!C55</f>
        <v>31</v>
      </c>
      <c r="D23" s="82">
        <f t="shared" si="0"/>
        <v>31</v>
      </c>
      <c r="E23" s="81">
        <f t="shared" si="1"/>
        <v>372</v>
      </c>
      <c r="F23" s="83" t="s">
        <v>284</v>
      </c>
      <c r="G23" s="79"/>
      <c r="H23" s="84"/>
      <c r="I23" s="79"/>
      <c r="J23" s="79"/>
      <c r="K23" s="61"/>
      <c r="L23" s="61"/>
      <c r="M23" s="61"/>
      <c r="N23" s="61"/>
    </row>
    <row r="24" spans="1:14" ht="19.5" customHeight="1" x14ac:dyDescent="0.3">
      <c r="A24" s="23" t="s">
        <v>285</v>
      </c>
      <c r="B24" s="85">
        <f>Assumptions!C57</f>
        <v>5</v>
      </c>
      <c r="C24" s="86">
        <f>Assumptions!C56</f>
        <v>1</v>
      </c>
      <c r="D24" s="82">
        <f t="shared" si="0"/>
        <v>5</v>
      </c>
      <c r="E24" s="86">
        <f t="shared" si="1"/>
        <v>60</v>
      </c>
      <c r="F24" s="87" t="s">
        <v>286</v>
      </c>
      <c r="G24" s="79"/>
      <c r="H24" s="84"/>
      <c r="I24" s="79"/>
      <c r="J24" s="79"/>
      <c r="K24" s="61"/>
      <c r="L24" s="61"/>
      <c r="M24" s="61"/>
      <c r="N24" s="61"/>
    </row>
    <row r="25" spans="1:14" ht="19.5" customHeight="1" x14ac:dyDescent="0.3">
      <c r="A25" s="23" t="s">
        <v>287</v>
      </c>
      <c r="B25" s="80" t="s">
        <v>281</v>
      </c>
      <c r="C25" s="81">
        <f>Assumptions!C58</f>
        <v>2</v>
      </c>
      <c r="D25" s="82">
        <f t="shared" si="0"/>
        <v>2</v>
      </c>
      <c r="E25" s="81">
        <f t="shared" si="1"/>
        <v>24</v>
      </c>
      <c r="F25" s="83" t="s">
        <v>288</v>
      </c>
      <c r="G25" s="88"/>
      <c r="H25" s="84"/>
      <c r="I25" s="79"/>
      <c r="J25" s="79"/>
      <c r="K25" s="61"/>
      <c r="L25" s="61"/>
      <c r="M25" s="61"/>
      <c r="N25" s="61"/>
    </row>
    <row r="26" spans="1:14" ht="19.5" customHeight="1" x14ac:dyDescent="0.3">
      <c r="A26" s="23" t="s">
        <v>289</v>
      </c>
      <c r="B26" s="85" t="s">
        <v>281</v>
      </c>
      <c r="C26" s="86">
        <f>Assumptions!C59</f>
        <v>10</v>
      </c>
      <c r="D26" s="82">
        <f t="shared" si="0"/>
        <v>10</v>
      </c>
      <c r="E26" s="86">
        <f t="shared" si="1"/>
        <v>120</v>
      </c>
      <c r="F26" s="87" t="s">
        <v>290</v>
      </c>
      <c r="G26" s="89"/>
      <c r="H26" s="84"/>
      <c r="I26" s="79"/>
      <c r="J26" s="79"/>
      <c r="K26" s="61"/>
      <c r="L26" s="61"/>
      <c r="M26" s="61"/>
      <c r="N26" s="61"/>
    </row>
    <row r="27" spans="1:14" ht="19.5" customHeight="1" x14ac:dyDescent="0.3">
      <c r="A27" s="23" t="s">
        <v>291</v>
      </c>
      <c r="B27" s="80" t="s">
        <v>281</v>
      </c>
      <c r="C27" s="81">
        <f>Assumptions!C60</f>
        <v>65</v>
      </c>
      <c r="D27" s="82">
        <f t="shared" si="0"/>
        <v>65</v>
      </c>
      <c r="E27" s="81">
        <f t="shared" si="1"/>
        <v>780</v>
      </c>
      <c r="F27" s="83" t="s">
        <v>292</v>
      </c>
      <c r="G27" s="88"/>
      <c r="H27" s="84"/>
      <c r="I27" s="79"/>
      <c r="J27" s="79"/>
      <c r="K27" s="61"/>
      <c r="L27" s="61"/>
      <c r="M27" s="61"/>
      <c r="N27" s="61"/>
    </row>
    <row r="28" spans="1:14" ht="19.5" customHeight="1" x14ac:dyDescent="0.3">
      <c r="A28" s="23" t="s">
        <v>293</v>
      </c>
      <c r="B28" s="85" t="s">
        <v>281</v>
      </c>
      <c r="C28" s="86">
        <f>Assumptions!C61</f>
        <v>86</v>
      </c>
      <c r="D28" s="82">
        <f t="shared" si="0"/>
        <v>86</v>
      </c>
      <c r="E28" s="86">
        <f t="shared" si="1"/>
        <v>1032</v>
      </c>
      <c r="F28" s="87" t="s">
        <v>294</v>
      </c>
      <c r="G28" s="88"/>
      <c r="H28" s="84"/>
      <c r="I28" s="79"/>
      <c r="J28" s="79"/>
      <c r="K28" s="61"/>
      <c r="L28" s="61"/>
      <c r="M28" s="61"/>
      <c r="N28" s="61"/>
    </row>
    <row r="29" spans="1:14" ht="19.5" customHeight="1" x14ac:dyDescent="0.3">
      <c r="A29" s="23" t="s">
        <v>295</v>
      </c>
      <c r="B29" s="80" t="s">
        <v>281</v>
      </c>
      <c r="C29" s="81">
        <f>Assumptions!C62</f>
        <v>39</v>
      </c>
      <c r="D29" s="82">
        <f t="shared" si="0"/>
        <v>39</v>
      </c>
      <c r="E29" s="81">
        <f t="shared" si="1"/>
        <v>468</v>
      </c>
      <c r="F29" s="83" t="s">
        <v>296</v>
      </c>
      <c r="G29" s="88"/>
      <c r="H29" s="84"/>
      <c r="I29" s="79"/>
      <c r="J29" s="79"/>
      <c r="K29" s="61"/>
      <c r="L29" s="61"/>
      <c r="M29" s="61"/>
      <c r="N29" s="61"/>
    </row>
    <row r="30" spans="1:14" ht="21.75" customHeight="1" x14ac:dyDescent="0.3">
      <c r="A30" s="216" t="s">
        <v>297</v>
      </c>
      <c r="B30" s="216"/>
      <c r="C30" s="216"/>
      <c r="D30" s="90">
        <f>SUM(D21:D29)</f>
        <v>2588</v>
      </c>
      <c r="E30" s="90">
        <f>SUM(E21:E29)</f>
        <v>31056</v>
      </c>
      <c r="F30" s="91"/>
      <c r="G30" s="79"/>
      <c r="H30" s="84"/>
      <c r="I30" s="79"/>
      <c r="J30" s="79"/>
      <c r="K30" s="79"/>
      <c r="L30" s="79"/>
      <c r="M30" s="79"/>
      <c r="N30" s="79"/>
    </row>
    <row r="31" spans="1:14" ht="15" customHeight="1" x14ac:dyDescent="0.3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</row>
    <row r="32" spans="1:14" ht="18" customHeight="1" x14ac:dyDescent="0.3">
      <c r="A32" s="210" t="s">
        <v>298</v>
      </c>
      <c r="B32" s="210"/>
      <c r="C32" s="210"/>
      <c r="D32" s="210"/>
      <c r="E32" s="210"/>
      <c r="F32" s="210"/>
      <c r="G32" s="61"/>
      <c r="H32" s="61"/>
      <c r="I32" s="61"/>
      <c r="J32" s="61"/>
      <c r="K32" s="61"/>
      <c r="L32" s="61"/>
      <c r="M32" s="61"/>
      <c r="N32" s="61"/>
    </row>
    <row r="33" spans="1:14" ht="24" customHeight="1" x14ac:dyDescent="0.3">
      <c r="A33" s="37" t="s">
        <v>299</v>
      </c>
      <c r="B33" s="37" t="s">
        <v>276</v>
      </c>
      <c r="C33" s="37" t="s">
        <v>277</v>
      </c>
      <c r="D33" s="37" t="s">
        <v>300</v>
      </c>
      <c r="E33" s="37" t="s">
        <v>301</v>
      </c>
      <c r="F33" s="37" t="s">
        <v>237</v>
      </c>
      <c r="G33" s="79"/>
      <c r="H33" s="79"/>
      <c r="I33" s="79"/>
      <c r="J33" s="79"/>
      <c r="K33" s="79"/>
      <c r="L33" s="79"/>
      <c r="M33" s="79"/>
      <c r="N33" s="79"/>
    </row>
    <row r="34" spans="1:14" ht="19.5" customHeight="1" x14ac:dyDescent="0.3">
      <c r="A34" s="29" t="s">
        <v>302</v>
      </c>
      <c r="B34" s="74">
        <f>Assumptions!C65</f>
        <v>35523.120000000003</v>
      </c>
      <c r="C34" s="74">
        <f>Assumptions!C65*12</f>
        <v>426277.44000000006</v>
      </c>
      <c r="D34" s="74" t="s">
        <v>303</v>
      </c>
      <c r="E34" s="92" t="s">
        <v>304</v>
      </c>
      <c r="F34" s="93" t="s">
        <v>305</v>
      </c>
      <c r="G34" s="61"/>
      <c r="H34" s="61"/>
      <c r="I34" s="61"/>
      <c r="J34" s="61"/>
      <c r="K34" s="61"/>
      <c r="L34" s="61"/>
      <c r="M34" s="61"/>
      <c r="N34" s="61"/>
    </row>
    <row r="35" spans="1:14" ht="19.5" customHeight="1" x14ac:dyDescent="0.3">
      <c r="A35" s="23" t="s">
        <v>306</v>
      </c>
      <c r="B35" s="44">
        <f>K17</f>
        <v>3608.0457703526999</v>
      </c>
      <c r="C35" s="44">
        <f>K17*12</f>
        <v>43296.549244232403</v>
      </c>
      <c r="D35" s="44">
        <f>Assumptions!C65-K17</f>
        <v>31915.074229647304</v>
      </c>
      <c r="E35" s="94">
        <f>(Assumptions!C65-K17)/Assumptions!C65</f>
        <v>0.89843105644006782</v>
      </c>
      <c r="F35" s="95" t="s">
        <v>307</v>
      </c>
      <c r="G35" s="61"/>
      <c r="H35" s="61"/>
      <c r="I35" s="61"/>
      <c r="J35" s="61"/>
      <c r="K35" s="61"/>
      <c r="L35" s="61"/>
      <c r="M35" s="61"/>
      <c r="N35" s="61"/>
    </row>
    <row r="36" spans="1:14" ht="19.5" customHeight="1" x14ac:dyDescent="0.3">
      <c r="A36" s="23" t="s">
        <v>308</v>
      </c>
      <c r="B36" s="44">
        <f>D30</f>
        <v>2588</v>
      </c>
      <c r="C36" s="44">
        <f>E30</f>
        <v>31056</v>
      </c>
      <c r="D36" s="44"/>
      <c r="E36" s="94"/>
      <c r="F36" s="95" t="s">
        <v>309</v>
      </c>
      <c r="G36" s="61"/>
      <c r="H36" s="61"/>
      <c r="I36" s="61"/>
      <c r="J36" s="61"/>
      <c r="K36" s="61"/>
      <c r="L36" s="61"/>
      <c r="M36" s="61"/>
      <c r="N36" s="61"/>
    </row>
    <row r="37" spans="1:14" ht="24" customHeight="1" x14ac:dyDescent="0.3">
      <c r="A37" s="48" t="s">
        <v>310</v>
      </c>
      <c r="B37" s="96">
        <f>B35+B36</f>
        <v>6196.0457703526999</v>
      </c>
      <c r="C37" s="96">
        <f>C35+C36</f>
        <v>74352.549244232403</v>
      </c>
      <c r="D37" s="96">
        <f>B34-B37</f>
        <v>29327.074229647304</v>
      </c>
      <c r="E37" s="97">
        <f>(B34-B37)/B34</f>
        <v>0.82557709541412183</v>
      </c>
      <c r="F37" s="98" t="s">
        <v>311</v>
      </c>
      <c r="G37" s="61"/>
      <c r="H37" s="61"/>
      <c r="I37" s="61"/>
      <c r="J37" s="61"/>
      <c r="K37" s="61"/>
      <c r="L37" s="61"/>
      <c r="M37" s="61"/>
      <c r="N37" s="61"/>
    </row>
    <row r="38" spans="1:14" ht="24" customHeight="1" x14ac:dyDescent="0.3">
      <c r="A38" s="99"/>
      <c r="B38" s="100"/>
      <c r="C38" s="100"/>
      <c r="D38" s="100"/>
      <c r="E38" s="101"/>
      <c r="F38" s="102"/>
      <c r="G38" s="79"/>
      <c r="H38" s="61"/>
      <c r="I38" s="61"/>
      <c r="J38" s="61"/>
      <c r="K38" s="61"/>
      <c r="L38" s="61"/>
      <c r="M38" s="61"/>
      <c r="N38" s="61"/>
    </row>
    <row r="39" spans="1:14" ht="19.5" customHeight="1" x14ac:dyDescent="0.3">
      <c r="A39" s="61"/>
      <c r="B39" s="103"/>
      <c r="C39" s="61"/>
      <c r="D39" s="103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spans="1:14" ht="15" customHeight="1" x14ac:dyDescent="0.3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</row>
    <row r="41" spans="1:14" ht="15" customHeight="1" x14ac:dyDescent="0.3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spans="1:14" ht="15" customHeight="1" x14ac:dyDescent="0.3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3" spans="1:14" ht="15" customHeight="1" x14ac:dyDescent="0.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</row>
    <row r="44" spans="1:14" ht="15" customHeight="1" x14ac:dyDescent="0.3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</row>
    <row r="45" spans="1:14" ht="15" customHeight="1" x14ac:dyDescent="0.3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1:14" ht="15" customHeight="1" x14ac:dyDescent="0.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</row>
    <row r="47" spans="1:14" ht="15" customHeight="1" x14ac:dyDescent="0.3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spans="1:14" ht="15" customHeight="1" x14ac:dyDescent="0.3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</row>
    <row r="49" spans="1:14" ht="15" customHeight="1" x14ac:dyDescent="0.3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</row>
    <row r="50" spans="1:14" ht="15" customHeight="1" x14ac:dyDescent="0.3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</row>
    <row r="51" spans="1:14" ht="15" customHeight="1" x14ac:dyDescent="0.3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</row>
    <row r="52" spans="1:14" ht="15" customHeight="1" x14ac:dyDescent="0.3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</row>
    <row r="53" spans="1:14" ht="15" customHeight="1" x14ac:dyDescent="0.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</row>
    <row r="54" spans="1:14" ht="15" customHeight="1" x14ac:dyDescent="0.3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</row>
    <row r="55" spans="1:14" ht="15" customHeight="1" x14ac:dyDescent="0.3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</row>
    <row r="56" spans="1:14" ht="15" customHeight="1" x14ac:dyDescent="0.3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</row>
    <row r="57" spans="1:14" ht="15" customHeight="1" x14ac:dyDescent="0.3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spans="1:14" ht="15" customHeight="1" x14ac:dyDescent="0.3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</row>
    <row r="59" spans="1:14" ht="15" customHeight="1" x14ac:dyDescent="0.3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</row>
    <row r="60" spans="1:14" ht="15" customHeight="1" x14ac:dyDescent="0.3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</row>
  </sheetData>
  <mergeCells count="11">
    <mergeCell ref="A32:F32"/>
    <mergeCell ref="K8:N8"/>
    <mergeCell ref="K9:N9"/>
    <mergeCell ref="A11:N11"/>
    <mergeCell ref="A19:F19"/>
    <mergeCell ref="A30:C30"/>
    <mergeCell ref="A1:N1"/>
    <mergeCell ref="A2:N2"/>
    <mergeCell ref="A4:N4"/>
    <mergeCell ref="K6:N6"/>
    <mergeCell ref="K7:N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"/>
  <sheetViews>
    <sheetView showGridLines="0" topLeftCell="A48" zoomScaleNormal="100" workbookViewId="0">
      <selection sqref="A1:J1"/>
    </sheetView>
  </sheetViews>
  <sheetFormatPr defaultColWidth="8.6640625" defaultRowHeight="14.4" x14ac:dyDescent="0.3"/>
  <cols>
    <col min="1" max="1" width="36" customWidth="1"/>
    <col min="2" max="2" width="16" customWidth="1"/>
    <col min="3" max="3" width="40" customWidth="1"/>
    <col min="4" max="4" width="14" customWidth="1"/>
    <col min="5" max="5" width="36" customWidth="1"/>
    <col min="6" max="6" width="14" customWidth="1"/>
    <col min="7" max="7" width="36" customWidth="1"/>
    <col min="8" max="8" width="14" customWidth="1"/>
    <col min="9" max="9" width="36" customWidth="1"/>
    <col min="10" max="10" width="1" customWidth="1"/>
  </cols>
  <sheetData>
    <row r="1" spans="1:10" ht="27.75" customHeight="1" x14ac:dyDescent="0.3">
      <c r="A1" s="14" t="s">
        <v>312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2.75" customHeight="1" x14ac:dyDescent="0.3">
      <c r="A2" s="13" t="s">
        <v>313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18" customHeight="1" x14ac:dyDescent="0.3">
      <c r="A4" s="217" t="s">
        <v>314</v>
      </c>
      <c r="B4" s="217"/>
      <c r="C4" s="217"/>
      <c r="D4" s="217"/>
      <c r="E4" s="217"/>
      <c r="F4" s="217"/>
      <c r="G4" s="217"/>
      <c r="H4" s="217"/>
      <c r="I4" s="217"/>
      <c r="J4" s="217"/>
    </row>
    <row r="5" spans="1:10" ht="13.5" customHeight="1" x14ac:dyDescent="0.3">
      <c r="A5" s="218" t="s">
        <v>315</v>
      </c>
      <c r="B5" s="218"/>
      <c r="C5" s="218"/>
      <c r="D5" s="218"/>
      <c r="E5" s="218"/>
      <c r="F5" s="218"/>
      <c r="G5" s="218"/>
      <c r="H5" s="218"/>
      <c r="I5" s="218"/>
      <c r="J5" s="218"/>
    </row>
    <row r="6" spans="1:10" ht="27.75" customHeight="1" x14ac:dyDescent="0.3">
      <c r="A6" s="39" t="s">
        <v>212</v>
      </c>
      <c r="B6" s="39" t="s">
        <v>316</v>
      </c>
      <c r="C6" s="39" t="s">
        <v>317</v>
      </c>
      <c r="D6" s="39" t="s">
        <v>318</v>
      </c>
      <c r="E6" s="39" t="s">
        <v>319</v>
      </c>
      <c r="F6" s="39" t="s">
        <v>232</v>
      </c>
      <c r="G6" s="39" t="s">
        <v>320</v>
      </c>
      <c r="H6" s="39" t="s">
        <v>232</v>
      </c>
      <c r="I6" s="39" t="s">
        <v>237</v>
      </c>
      <c r="J6" s="39"/>
    </row>
    <row r="7" spans="1:10" ht="18" customHeight="1" x14ac:dyDescent="0.3">
      <c r="A7" s="16" t="s">
        <v>218</v>
      </c>
      <c r="B7" s="24">
        <f>Assumptions!C6</f>
        <v>7775.51</v>
      </c>
      <c r="C7" s="24">
        <f>B7*Assumptions!C11</f>
        <v>8350.8977400000003</v>
      </c>
      <c r="D7" s="73" t="s">
        <v>321</v>
      </c>
      <c r="E7" s="56">
        <v>0</v>
      </c>
      <c r="F7" s="104">
        <v>0</v>
      </c>
      <c r="G7" s="44">
        <v>0</v>
      </c>
      <c r="H7" s="73" t="s">
        <v>322</v>
      </c>
      <c r="I7" s="215" t="s">
        <v>323</v>
      </c>
      <c r="J7" s="215"/>
    </row>
    <row r="8" spans="1:10" ht="18" customHeight="1" x14ac:dyDescent="0.3">
      <c r="A8" s="16" t="s">
        <v>220</v>
      </c>
      <c r="B8" s="57">
        <f>Assumptions!C7</f>
        <v>7401.73</v>
      </c>
      <c r="C8" s="57">
        <f>B8*Assumptions!C11</f>
        <v>7949.45802</v>
      </c>
      <c r="D8" s="62" t="s">
        <v>324</v>
      </c>
      <c r="E8" s="59">
        <v>0</v>
      </c>
      <c r="F8" s="105">
        <v>0</v>
      </c>
      <c r="G8" s="44">
        <v>0</v>
      </c>
      <c r="H8" s="62" t="s">
        <v>325</v>
      </c>
      <c r="I8" s="214" t="s">
        <v>323</v>
      </c>
      <c r="J8" s="214"/>
    </row>
    <row r="9" spans="1:10" ht="18" customHeight="1" x14ac:dyDescent="0.3">
      <c r="A9" s="16" t="s">
        <v>221</v>
      </c>
      <c r="B9" s="24">
        <f>Assumptions!C8</f>
        <v>165555.92000000001</v>
      </c>
      <c r="C9" s="24">
        <f>B9*Assumptions!C11</f>
        <v>177807.05808000002</v>
      </c>
      <c r="D9" s="73" t="s">
        <v>326</v>
      </c>
      <c r="E9" s="106">
        <f>Assumptions!C28</f>
        <v>0.01</v>
      </c>
      <c r="F9" s="67">
        <f>Assumptions!C28</f>
        <v>0.01</v>
      </c>
      <c r="G9" s="77">
        <f>C9*E9</f>
        <v>1778.0705808000002</v>
      </c>
      <c r="H9" s="73" t="s">
        <v>327</v>
      </c>
      <c r="I9" s="215" t="s">
        <v>328</v>
      </c>
      <c r="J9" s="215"/>
    </row>
    <row r="10" spans="1:10" ht="18" customHeight="1" x14ac:dyDescent="0.3">
      <c r="A10" s="16" t="s">
        <v>223</v>
      </c>
      <c r="B10" s="57">
        <f>Assumptions!C9</f>
        <v>3195.69</v>
      </c>
      <c r="C10" s="57">
        <f>B10*Assumptions!C11</f>
        <v>3432.1710600000001</v>
      </c>
      <c r="D10" s="62" t="s">
        <v>329</v>
      </c>
      <c r="E10" s="106">
        <f>Assumptions!C29</f>
        <v>0.03</v>
      </c>
      <c r="F10" s="65">
        <f>Assumptions!C29</f>
        <v>0.03</v>
      </c>
      <c r="G10" s="77">
        <f>C10*E10</f>
        <v>102.96513179999999</v>
      </c>
      <c r="H10" s="62" t="s">
        <v>330</v>
      </c>
      <c r="I10" s="214" t="s">
        <v>328</v>
      </c>
      <c r="J10" s="214"/>
    </row>
    <row r="11" spans="1:10" ht="18" customHeight="1" x14ac:dyDescent="0.3">
      <c r="A11" s="16" t="s">
        <v>225</v>
      </c>
      <c r="B11" s="24">
        <f>Assumptions!C10</f>
        <v>882775.79</v>
      </c>
      <c r="C11" s="24">
        <f>B11*Assumptions!C11</f>
        <v>948101.1984600001</v>
      </c>
      <c r="D11" s="73" t="s">
        <v>331</v>
      </c>
      <c r="E11" s="106">
        <f>Assumptions!C30</f>
        <v>2.1999999999999999E-2</v>
      </c>
      <c r="F11" s="67">
        <f>Assumptions!C30</f>
        <v>2.1999999999999999E-2</v>
      </c>
      <c r="G11" s="77">
        <f>C11*E11</f>
        <v>20858.226366120001</v>
      </c>
      <c r="H11" s="73" t="s">
        <v>332</v>
      </c>
      <c r="I11" s="215" t="s">
        <v>333</v>
      </c>
      <c r="J11" s="215"/>
    </row>
    <row r="12" spans="1:10" ht="15" customHeight="1" x14ac:dyDescent="0.3">
      <c r="A12" s="219" t="s">
        <v>334</v>
      </c>
      <c r="B12" s="219"/>
      <c r="C12" s="219"/>
      <c r="D12" s="219"/>
      <c r="E12" s="219"/>
      <c r="F12" s="219"/>
      <c r="G12" s="107">
        <f>SUM(G7:G11)</f>
        <v>22739.262078720003</v>
      </c>
      <c r="H12" s="220" t="s">
        <v>335</v>
      </c>
      <c r="I12" s="220"/>
      <c r="J12" s="220"/>
    </row>
    <row r="14" spans="1:10" ht="18" customHeight="1" x14ac:dyDescent="0.3">
      <c r="A14" s="8" t="s">
        <v>336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13.5" customHeight="1" x14ac:dyDescent="0.3">
      <c r="A15" s="221" t="s">
        <v>337</v>
      </c>
      <c r="B15" s="221"/>
      <c r="C15" s="221"/>
      <c r="D15" s="221"/>
      <c r="E15" s="221"/>
      <c r="F15" s="221"/>
      <c r="G15" s="221"/>
      <c r="H15" s="221"/>
      <c r="I15" s="221"/>
      <c r="J15" s="221"/>
    </row>
    <row r="16" spans="1:10" ht="27.75" customHeight="1" x14ac:dyDescent="0.3">
      <c r="A16" s="28" t="s">
        <v>338</v>
      </c>
      <c r="B16" s="28" t="s">
        <v>339</v>
      </c>
      <c r="C16" s="28" t="s">
        <v>340</v>
      </c>
      <c r="D16" s="28" t="s">
        <v>341</v>
      </c>
      <c r="E16" s="28" t="s">
        <v>342</v>
      </c>
      <c r="F16" s="28" t="s">
        <v>343</v>
      </c>
      <c r="G16" s="28" t="s">
        <v>344</v>
      </c>
      <c r="H16" s="28" t="s">
        <v>345</v>
      </c>
      <c r="I16" s="28" t="s">
        <v>232</v>
      </c>
      <c r="J16" s="28" t="s">
        <v>237</v>
      </c>
    </row>
    <row r="17" spans="1:10" ht="19.5" customHeight="1" x14ac:dyDescent="0.3">
      <c r="A17" s="29" t="s">
        <v>346</v>
      </c>
      <c r="B17" s="80">
        <f>Assumptions!C18</f>
        <v>316261.82178000006</v>
      </c>
      <c r="C17" s="73" t="s">
        <v>347</v>
      </c>
      <c r="D17" s="108">
        <f>Assumptions!C31</f>
        <v>8.6999999999999994E-2</v>
      </c>
      <c r="E17" s="108">
        <f>Assumptions!C32</f>
        <v>8.3000000000000004E-2</v>
      </c>
      <c r="F17" s="108">
        <f>Assumptions!C33</f>
        <v>7.0000000000000007E-2</v>
      </c>
      <c r="G17" s="108">
        <f>Assumptions!C34</f>
        <v>0.05</v>
      </c>
      <c r="H17" s="43">
        <v>19494.400000000001</v>
      </c>
      <c r="I17" s="75" t="s">
        <v>348</v>
      </c>
      <c r="J17" s="71" t="s">
        <v>349</v>
      </c>
    </row>
    <row r="18" spans="1:10" ht="19.5" customHeight="1" x14ac:dyDescent="0.3">
      <c r="A18" s="29" t="s">
        <v>350</v>
      </c>
      <c r="B18" s="85">
        <f>Assumptions!C19</f>
        <v>829378.96158</v>
      </c>
      <c r="C18" s="62" t="s">
        <v>351</v>
      </c>
      <c r="D18" s="108">
        <f>Assumptions!C31</f>
        <v>8.6999999999999994E-2</v>
      </c>
      <c r="E18" s="108">
        <f>Assumptions!C32</f>
        <v>8.3000000000000004E-2</v>
      </c>
      <c r="F18" s="108">
        <f>Assumptions!C33</f>
        <v>7.0000000000000007E-2</v>
      </c>
      <c r="G18" s="108">
        <f>Assumptions!C34</f>
        <v>0.05</v>
      </c>
      <c r="H18" s="43">
        <v>45150.25</v>
      </c>
      <c r="I18" s="75" t="s">
        <v>352</v>
      </c>
      <c r="J18" s="66" t="s">
        <v>353</v>
      </c>
    </row>
    <row r="19" spans="1:10" ht="15" customHeight="1" x14ac:dyDescent="0.3">
      <c r="A19" s="222" t="s">
        <v>354</v>
      </c>
      <c r="B19" s="222"/>
      <c r="C19" s="222"/>
      <c r="D19" s="222"/>
      <c r="E19" s="222"/>
      <c r="F19" s="222"/>
      <c r="G19" s="222"/>
      <c r="H19" s="109">
        <f>SUM(H17:H18)</f>
        <v>64644.65</v>
      </c>
      <c r="I19" s="223" t="s">
        <v>355</v>
      </c>
      <c r="J19" s="223"/>
    </row>
    <row r="21" spans="1:10" ht="18" customHeight="1" x14ac:dyDescent="0.3">
      <c r="A21" s="6" t="s">
        <v>356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13.5" customHeight="1" x14ac:dyDescent="0.3">
      <c r="A22" s="218" t="s">
        <v>357</v>
      </c>
      <c r="B22" s="218"/>
      <c r="C22" s="218"/>
      <c r="D22" s="218"/>
      <c r="E22" s="218"/>
      <c r="F22" s="218"/>
      <c r="G22" s="218"/>
      <c r="H22" s="218"/>
      <c r="I22" s="218"/>
      <c r="J22" s="218"/>
    </row>
    <row r="23" spans="1:10" ht="27.75" customHeight="1" x14ac:dyDescent="0.3">
      <c r="A23" s="34" t="s">
        <v>358</v>
      </c>
      <c r="B23" s="34" t="s">
        <v>359</v>
      </c>
      <c r="C23" s="34" t="s">
        <v>360</v>
      </c>
      <c r="D23" s="34" t="s">
        <v>361</v>
      </c>
      <c r="E23" s="34" t="s">
        <v>362</v>
      </c>
      <c r="F23" s="34" t="s">
        <v>363</v>
      </c>
      <c r="G23" s="34" t="s">
        <v>232</v>
      </c>
      <c r="H23" s="34" t="s">
        <v>364</v>
      </c>
      <c r="I23" s="34" t="s">
        <v>232</v>
      </c>
      <c r="J23" s="34" t="s">
        <v>237</v>
      </c>
    </row>
    <row r="24" spans="1:10" ht="18" customHeight="1" x14ac:dyDescent="0.3">
      <c r="A24" s="23" t="s">
        <v>365</v>
      </c>
      <c r="B24" s="57">
        <f>Assumptions!C6+Assumptions!C7</f>
        <v>15177.24</v>
      </c>
      <c r="C24" s="36">
        <v>10</v>
      </c>
      <c r="D24" s="85">
        <f>(B24*1024)/C24</f>
        <v>1554149.3759999999</v>
      </c>
      <c r="E24" s="62" t="s">
        <v>366</v>
      </c>
      <c r="F24" s="111">
        <f>Assumptions!C46</f>
        <v>5.0000000000000001E-3</v>
      </c>
      <c r="G24" s="65">
        <f>Assumptions!C46</f>
        <v>5.0000000000000001E-3</v>
      </c>
      <c r="H24" s="77">
        <f>(D24/1000)*F24</f>
        <v>7.770746879999999</v>
      </c>
      <c r="I24" s="62" t="s">
        <v>367</v>
      </c>
      <c r="J24" s="66" t="s">
        <v>368</v>
      </c>
    </row>
    <row r="25" spans="1:10" ht="18" customHeight="1" x14ac:dyDescent="0.3">
      <c r="A25" s="23" t="s">
        <v>369</v>
      </c>
      <c r="B25" s="24">
        <f>Assumptions!C8</f>
        <v>165555.92000000001</v>
      </c>
      <c r="C25" s="36">
        <v>50</v>
      </c>
      <c r="D25" s="80">
        <f>(B25*1024)/C25</f>
        <v>3390585.2416000003</v>
      </c>
      <c r="E25" s="73" t="s">
        <v>370</v>
      </c>
      <c r="F25" s="112">
        <f>Assumptions!C47</f>
        <v>0.01</v>
      </c>
      <c r="G25" s="67">
        <f>Assumptions!C47</f>
        <v>0.01</v>
      </c>
      <c r="H25" s="77">
        <f>(D25/1000)*F25</f>
        <v>33.905852416000002</v>
      </c>
      <c r="I25" s="73" t="s">
        <v>367</v>
      </c>
      <c r="J25" s="71" t="s">
        <v>371</v>
      </c>
    </row>
    <row r="26" spans="1:10" ht="18" customHeight="1" x14ac:dyDescent="0.3">
      <c r="A26" s="23" t="s">
        <v>372</v>
      </c>
      <c r="B26" s="57">
        <f>Assumptions!C9</f>
        <v>3195.69</v>
      </c>
      <c r="C26" s="36">
        <v>200</v>
      </c>
      <c r="D26" s="85">
        <f>(B26*1024)/C26</f>
        <v>16361.9328</v>
      </c>
      <c r="E26" s="62" t="s">
        <v>373</v>
      </c>
      <c r="F26" s="111">
        <f>Assumptions!C46</f>
        <v>5.0000000000000001E-3</v>
      </c>
      <c r="G26" s="65">
        <f>Assumptions!C46</f>
        <v>5.0000000000000001E-3</v>
      </c>
      <c r="H26" s="77">
        <f>(D26/1000)*F26</f>
        <v>8.1809664000000004E-2</v>
      </c>
      <c r="I26" s="62" t="s">
        <v>367</v>
      </c>
      <c r="J26" s="66" t="s">
        <v>374</v>
      </c>
    </row>
    <row r="27" spans="1:10" ht="18" customHeight="1" x14ac:dyDescent="0.3">
      <c r="A27" s="23" t="s">
        <v>375</v>
      </c>
      <c r="B27" s="24">
        <f>Assumptions!C10</f>
        <v>882775.79</v>
      </c>
      <c r="C27" s="36">
        <v>500</v>
      </c>
      <c r="D27" s="80">
        <f>(B27*1024)/C27</f>
        <v>1807924.8179200001</v>
      </c>
      <c r="E27" s="73" t="s">
        <v>376</v>
      </c>
      <c r="F27" s="112">
        <f>Assumptions!C48</f>
        <v>0.05</v>
      </c>
      <c r="G27" s="67">
        <f>Assumptions!C48</f>
        <v>0.05</v>
      </c>
      <c r="H27" s="77">
        <f>(D27/1000)*F27</f>
        <v>90.396240896000009</v>
      </c>
      <c r="I27" s="73" t="s">
        <v>367</v>
      </c>
      <c r="J27" s="71" t="s">
        <v>377</v>
      </c>
    </row>
    <row r="28" spans="1:10" ht="15" customHeight="1" x14ac:dyDescent="0.3">
      <c r="A28" s="216" t="s">
        <v>378</v>
      </c>
      <c r="B28" s="216"/>
      <c r="C28" s="216"/>
      <c r="D28" s="216"/>
      <c r="E28" s="216"/>
      <c r="F28" s="216"/>
      <c r="G28" s="216"/>
      <c r="H28" s="90">
        <f>SUM(H24:H27)</f>
        <v>132.15464985599999</v>
      </c>
      <c r="I28" s="224" t="s">
        <v>379</v>
      </c>
      <c r="J28" s="224"/>
    </row>
    <row r="30" spans="1:10" ht="18" customHeight="1" x14ac:dyDescent="0.3">
      <c r="A30" s="225" t="s">
        <v>380</v>
      </c>
      <c r="B30" s="225"/>
      <c r="C30" s="225"/>
      <c r="D30" s="225"/>
      <c r="E30" s="225"/>
      <c r="F30" s="225"/>
      <c r="G30" s="225"/>
      <c r="H30" s="225"/>
      <c r="I30" s="225"/>
      <c r="J30" s="225"/>
    </row>
    <row r="31" spans="1:10" ht="13.5" customHeight="1" x14ac:dyDescent="0.3">
      <c r="A31" s="226" t="s">
        <v>381</v>
      </c>
      <c r="B31" s="226"/>
      <c r="C31" s="226"/>
      <c r="D31" s="226"/>
      <c r="E31" s="226"/>
      <c r="F31" s="226"/>
      <c r="G31" s="226"/>
      <c r="H31" s="226"/>
      <c r="I31" s="226"/>
      <c r="J31" s="226"/>
    </row>
    <row r="32" spans="1:10" ht="27.75" customHeight="1" x14ac:dyDescent="0.3">
      <c r="A32" s="38" t="s">
        <v>382</v>
      </c>
      <c r="B32" s="38" t="s">
        <v>383</v>
      </c>
      <c r="C32" s="38" t="s">
        <v>361</v>
      </c>
      <c r="D32" s="38" t="s">
        <v>232</v>
      </c>
      <c r="E32" s="38" t="s">
        <v>384</v>
      </c>
      <c r="F32" s="38" t="s">
        <v>232</v>
      </c>
      <c r="G32" s="38" t="s">
        <v>385</v>
      </c>
      <c r="H32" s="38" t="s">
        <v>232</v>
      </c>
      <c r="I32" s="38" t="s">
        <v>386</v>
      </c>
      <c r="J32" s="38"/>
    </row>
    <row r="33" spans="1:10" ht="19.5" customHeight="1" x14ac:dyDescent="0.3">
      <c r="A33" s="23" t="s">
        <v>387</v>
      </c>
      <c r="B33" s="27" t="s">
        <v>388</v>
      </c>
      <c r="C33" s="113">
        <f>D24+D25+D26+D27</f>
        <v>6769021.3683200004</v>
      </c>
      <c r="D33" s="76" t="s">
        <v>389</v>
      </c>
      <c r="E33" s="114">
        <v>0</v>
      </c>
      <c r="F33" s="115">
        <v>0</v>
      </c>
      <c r="G33" s="44">
        <v>0</v>
      </c>
      <c r="H33" s="76" t="s">
        <v>390</v>
      </c>
      <c r="I33" s="227" t="s">
        <v>391</v>
      </c>
      <c r="J33" s="227"/>
    </row>
    <row r="34" spans="1:10" ht="19.5" customHeight="1" x14ac:dyDescent="0.3">
      <c r="A34" s="29" t="s">
        <v>392</v>
      </c>
      <c r="B34" s="32" t="s">
        <v>393</v>
      </c>
      <c r="C34" s="117">
        <f>D25</f>
        <v>3390585.2416000003</v>
      </c>
      <c r="D34" s="75" t="s">
        <v>394</v>
      </c>
      <c r="E34" s="118">
        <f>Assumptions!C47</f>
        <v>0.01</v>
      </c>
      <c r="F34" s="119">
        <f>Assumptions!C47</f>
        <v>0.01</v>
      </c>
      <c r="G34" s="77">
        <f>(C34/1000)*E34</f>
        <v>33.905852416000002</v>
      </c>
      <c r="H34" s="75" t="s">
        <v>395</v>
      </c>
      <c r="I34" s="228" t="s">
        <v>396</v>
      </c>
      <c r="J34" s="228"/>
    </row>
    <row r="35" spans="1:10" ht="19.5" customHeight="1" x14ac:dyDescent="0.3">
      <c r="A35" s="29" t="s">
        <v>397</v>
      </c>
      <c r="B35" s="32" t="s">
        <v>398</v>
      </c>
      <c r="C35" s="117">
        <f>D27</f>
        <v>1807924.8179200001</v>
      </c>
      <c r="D35" s="75" t="s">
        <v>399</v>
      </c>
      <c r="E35" s="118">
        <f>Assumptions!C48</f>
        <v>0.05</v>
      </c>
      <c r="F35" s="119">
        <f>Assumptions!C48</f>
        <v>0.05</v>
      </c>
      <c r="G35" s="77">
        <f>(C35/1000)*E35</f>
        <v>90.396240896000009</v>
      </c>
      <c r="H35" s="75" t="s">
        <v>395</v>
      </c>
      <c r="I35" s="228" t="s">
        <v>400</v>
      </c>
      <c r="J35" s="228"/>
    </row>
    <row r="38" spans="1:10" ht="18" customHeight="1" x14ac:dyDescent="0.3">
      <c r="A38" s="12" t="s">
        <v>401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27.75" customHeight="1" x14ac:dyDescent="0.3">
      <c r="A39" s="15" t="s">
        <v>402</v>
      </c>
      <c r="B39" s="15" t="s">
        <v>274</v>
      </c>
      <c r="C39" s="15" t="s">
        <v>403</v>
      </c>
      <c r="D39" s="15" t="s">
        <v>404</v>
      </c>
      <c r="E39" s="15" t="s">
        <v>232</v>
      </c>
      <c r="F39" s="15" t="s">
        <v>405</v>
      </c>
      <c r="G39" s="15" t="s">
        <v>232</v>
      </c>
      <c r="H39" s="15" t="s">
        <v>237</v>
      </c>
      <c r="I39" s="15"/>
      <c r="J39" s="15"/>
    </row>
    <row r="40" spans="1:10" ht="18" customHeight="1" x14ac:dyDescent="0.3">
      <c r="A40" s="16" t="s">
        <v>406</v>
      </c>
      <c r="B40" s="57">
        <f>Assumptions!C15</f>
        <v>1145640.7833600002</v>
      </c>
      <c r="C40" s="62" t="s">
        <v>407</v>
      </c>
      <c r="D40" s="86">
        <f>Assumptions!C63</f>
        <v>1.2500000000000001E-2</v>
      </c>
      <c r="E40" s="62" t="s">
        <v>408</v>
      </c>
      <c r="F40" s="77">
        <f t="shared" ref="F40:F45" si="0">B40*D40</f>
        <v>14320.509792000004</v>
      </c>
      <c r="G40" s="62" t="s">
        <v>409</v>
      </c>
      <c r="H40" s="214" t="s">
        <v>410</v>
      </c>
      <c r="I40" s="214"/>
      <c r="J40" s="214"/>
    </row>
    <row r="41" spans="1:10" ht="18" customHeight="1" x14ac:dyDescent="0.3">
      <c r="A41" s="16" t="s">
        <v>411</v>
      </c>
      <c r="B41" s="24">
        <f>Assumptions!C54</f>
        <v>5</v>
      </c>
      <c r="C41" s="73" t="s">
        <v>412</v>
      </c>
      <c r="D41" s="43">
        <v>500</v>
      </c>
      <c r="E41" s="73" t="s">
        <v>413</v>
      </c>
      <c r="F41" s="77">
        <f t="shared" si="0"/>
        <v>2500</v>
      </c>
      <c r="G41" s="73" t="s">
        <v>409</v>
      </c>
      <c r="H41" s="215" t="s">
        <v>414</v>
      </c>
      <c r="I41" s="215"/>
      <c r="J41" s="215"/>
    </row>
    <row r="42" spans="1:10" ht="18" customHeight="1" x14ac:dyDescent="0.3">
      <c r="A42" s="16" t="s">
        <v>415</v>
      </c>
      <c r="B42" s="120">
        <v>1</v>
      </c>
      <c r="C42" s="62" t="s">
        <v>416</v>
      </c>
      <c r="D42" s="43">
        <v>500</v>
      </c>
      <c r="E42" s="62" t="s">
        <v>417</v>
      </c>
      <c r="F42" s="77">
        <f t="shared" si="0"/>
        <v>500</v>
      </c>
      <c r="G42" s="62" t="s">
        <v>409</v>
      </c>
      <c r="H42" s="214" t="s">
        <v>418</v>
      </c>
      <c r="I42" s="214"/>
      <c r="J42" s="214"/>
    </row>
    <row r="43" spans="1:10" ht="18" customHeight="1" x14ac:dyDescent="0.3">
      <c r="A43" s="16" t="s">
        <v>419</v>
      </c>
      <c r="B43" s="121">
        <v>1</v>
      </c>
      <c r="C43" s="73" t="s">
        <v>416</v>
      </c>
      <c r="D43" s="43">
        <v>500</v>
      </c>
      <c r="E43" s="73" t="s">
        <v>420</v>
      </c>
      <c r="F43" s="77">
        <f t="shared" si="0"/>
        <v>500</v>
      </c>
      <c r="G43" s="73" t="s">
        <v>409</v>
      </c>
      <c r="H43" s="215" t="s">
        <v>421</v>
      </c>
      <c r="I43" s="215"/>
      <c r="J43" s="215"/>
    </row>
    <row r="44" spans="1:10" ht="18" customHeight="1" x14ac:dyDescent="0.3">
      <c r="A44" s="16" t="s">
        <v>422</v>
      </c>
      <c r="B44" s="120">
        <v>1</v>
      </c>
      <c r="C44" s="62" t="s">
        <v>416</v>
      </c>
      <c r="D44" s="43">
        <v>3000</v>
      </c>
      <c r="E44" s="62" t="s">
        <v>423</v>
      </c>
      <c r="F44" s="77">
        <f t="shared" si="0"/>
        <v>3000</v>
      </c>
      <c r="G44" s="62" t="s">
        <v>409</v>
      </c>
      <c r="H44" s="214" t="s">
        <v>424</v>
      </c>
      <c r="I44" s="214"/>
      <c r="J44" s="214"/>
    </row>
    <row r="45" spans="1:10" ht="18" customHeight="1" x14ac:dyDescent="0.3">
      <c r="A45" s="16" t="s">
        <v>425</v>
      </c>
      <c r="B45" s="121">
        <v>1</v>
      </c>
      <c r="C45" s="73" t="s">
        <v>416</v>
      </c>
      <c r="D45" s="43">
        <v>2000</v>
      </c>
      <c r="E45" s="73" t="s">
        <v>426</v>
      </c>
      <c r="F45" s="77">
        <f t="shared" si="0"/>
        <v>2000</v>
      </c>
      <c r="G45" s="73" t="s">
        <v>409</v>
      </c>
      <c r="H45" s="215" t="s">
        <v>427</v>
      </c>
      <c r="I45" s="215"/>
      <c r="J45" s="215"/>
    </row>
    <row r="46" spans="1:10" ht="15" customHeight="1" x14ac:dyDescent="0.3">
      <c r="A46" s="229" t="s">
        <v>428</v>
      </c>
      <c r="B46" s="229"/>
      <c r="C46" s="229"/>
      <c r="D46" s="229"/>
      <c r="E46" s="229"/>
      <c r="F46" s="122">
        <f>SUM(F40:F45)</f>
        <v>22820.509792000004</v>
      </c>
      <c r="G46" s="230" t="s">
        <v>429</v>
      </c>
      <c r="H46" s="230"/>
      <c r="I46" s="230"/>
      <c r="J46" s="230"/>
    </row>
    <row r="48" spans="1:10" ht="18" customHeight="1" x14ac:dyDescent="0.3">
      <c r="A48" s="210" t="s">
        <v>430</v>
      </c>
      <c r="B48" s="210"/>
      <c r="C48" s="210"/>
      <c r="D48" s="210"/>
      <c r="E48" s="210"/>
      <c r="F48" s="210"/>
      <c r="G48" s="210"/>
      <c r="H48" s="210"/>
      <c r="I48" s="210"/>
      <c r="J48" s="210"/>
    </row>
    <row r="49" spans="1:10" ht="27.75" customHeight="1" x14ac:dyDescent="0.3">
      <c r="A49" s="37" t="s">
        <v>299</v>
      </c>
      <c r="B49" s="37" t="s">
        <v>431</v>
      </c>
      <c r="C49" s="37" t="s">
        <v>232</v>
      </c>
      <c r="D49" s="37" t="s">
        <v>216</v>
      </c>
      <c r="E49" s="37" t="s">
        <v>232</v>
      </c>
      <c r="F49" s="37" t="s">
        <v>237</v>
      </c>
      <c r="G49" s="37"/>
      <c r="H49" s="37"/>
      <c r="I49" s="37"/>
      <c r="J49" s="37"/>
    </row>
    <row r="50" spans="1:10" ht="18" customHeight="1" x14ac:dyDescent="0.3">
      <c r="A50" s="16" t="s">
        <v>432</v>
      </c>
      <c r="B50" s="77">
        <f>G12</f>
        <v>22739.262078720003</v>
      </c>
      <c r="C50" s="62" t="s">
        <v>433</v>
      </c>
      <c r="D50" s="64">
        <f>B50/SUM(B50:B55)</f>
        <v>0.18735452093118904</v>
      </c>
      <c r="E50" s="62" t="s">
        <v>434</v>
      </c>
      <c r="F50" s="231"/>
      <c r="G50" s="231"/>
      <c r="H50" s="231"/>
      <c r="I50" s="231"/>
      <c r="J50" s="231"/>
    </row>
    <row r="51" spans="1:10" ht="18" customHeight="1" x14ac:dyDescent="0.3">
      <c r="A51" s="16" t="s">
        <v>435</v>
      </c>
      <c r="B51" s="77">
        <f>H19</f>
        <v>64644.65</v>
      </c>
      <c r="C51" s="73" t="s">
        <v>436</v>
      </c>
      <c r="D51" s="70">
        <f>B51/SUM(B50:B55)</f>
        <v>0.53262359128393255</v>
      </c>
      <c r="E51" s="73" t="s">
        <v>437</v>
      </c>
      <c r="F51" s="232"/>
      <c r="G51" s="232"/>
      <c r="H51" s="232"/>
      <c r="I51" s="232"/>
      <c r="J51" s="232"/>
    </row>
    <row r="52" spans="1:10" ht="18" customHeight="1" x14ac:dyDescent="0.3">
      <c r="A52" s="16" t="s">
        <v>438</v>
      </c>
      <c r="B52" s="77">
        <f>H28</f>
        <v>132.15464985599999</v>
      </c>
      <c r="C52" s="62" t="s">
        <v>439</v>
      </c>
      <c r="D52" s="64">
        <f>B52/SUM(B50:B55)</f>
        <v>1.0888555234063973E-3</v>
      </c>
      <c r="E52" s="62" t="s">
        <v>440</v>
      </c>
      <c r="F52" s="231"/>
      <c r="G52" s="231"/>
      <c r="H52" s="231"/>
      <c r="I52" s="231"/>
      <c r="J52" s="231"/>
    </row>
    <row r="53" spans="1:10" ht="18" customHeight="1" x14ac:dyDescent="0.3">
      <c r="A53" s="16" t="s">
        <v>441</v>
      </c>
      <c r="B53" s="77">
        <f>G33</f>
        <v>0</v>
      </c>
      <c r="C53" s="73" t="s">
        <v>442</v>
      </c>
      <c r="D53" s="70">
        <f>B53/SUM(B50:B55)</f>
        <v>0</v>
      </c>
      <c r="E53" s="73" t="s">
        <v>443</v>
      </c>
      <c r="F53" s="232"/>
      <c r="G53" s="232"/>
      <c r="H53" s="232"/>
      <c r="I53" s="232"/>
      <c r="J53" s="232"/>
    </row>
    <row r="54" spans="1:10" ht="18" customHeight="1" x14ac:dyDescent="0.3">
      <c r="A54" s="16" t="s">
        <v>444</v>
      </c>
      <c r="B54" s="77">
        <f>F46</f>
        <v>22820.509792000004</v>
      </c>
      <c r="C54" s="62" t="s">
        <v>445</v>
      </c>
      <c r="D54" s="64">
        <f>B54/SUM(B50:B55)</f>
        <v>0.18802394135238093</v>
      </c>
      <c r="E54" s="62" t="s">
        <v>446</v>
      </c>
      <c r="F54" s="231"/>
      <c r="G54" s="231"/>
      <c r="H54" s="231"/>
      <c r="I54" s="231"/>
      <c r="J54" s="231"/>
    </row>
    <row r="55" spans="1:10" ht="18" customHeight="1" x14ac:dyDescent="0.3">
      <c r="A55" s="16" t="s">
        <v>447</v>
      </c>
      <c r="B55" s="77">
        <f>SUM(B50:B54)*0.1</f>
        <v>11033.657652057604</v>
      </c>
      <c r="C55" s="73" t="s">
        <v>448</v>
      </c>
      <c r="D55" s="70">
        <f>B55/SUM(B50:B55)</f>
        <v>9.0909090909090912E-2</v>
      </c>
      <c r="E55" s="73" t="s">
        <v>449</v>
      </c>
      <c r="F55" s="232"/>
      <c r="G55" s="232"/>
      <c r="H55" s="232"/>
      <c r="I55" s="232"/>
      <c r="J55" s="232"/>
    </row>
    <row r="56" spans="1:10" ht="27.75" customHeight="1" x14ac:dyDescent="0.3">
      <c r="A56" s="233" t="s">
        <v>450</v>
      </c>
      <c r="B56" s="233"/>
      <c r="C56" s="123">
        <f>SUM(B50:B55)</f>
        <v>121370.23417263363</v>
      </c>
      <c r="D56" s="234" t="s">
        <v>451</v>
      </c>
      <c r="E56" s="234"/>
      <c r="F56" s="234"/>
      <c r="G56" s="234"/>
      <c r="H56" s="234"/>
      <c r="I56" s="234"/>
      <c r="J56" s="234"/>
    </row>
    <row r="58" spans="1:10" ht="18" customHeight="1" x14ac:dyDescent="0.3">
      <c r="A58" s="6" t="s">
        <v>452</v>
      </c>
      <c r="B58" s="6"/>
      <c r="C58" s="6"/>
      <c r="D58" s="6"/>
      <c r="E58" s="6"/>
      <c r="F58" s="6"/>
      <c r="G58" s="6"/>
      <c r="H58" s="6"/>
      <c r="I58" s="6"/>
      <c r="J58" s="6"/>
    </row>
    <row r="59" spans="1:10" ht="24" customHeight="1" x14ac:dyDescent="0.3">
      <c r="A59" s="34" t="s">
        <v>453</v>
      </c>
      <c r="B59" s="34" t="s">
        <v>5</v>
      </c>
      <c r="C59" s="34" t="s">
        <v>232</v>
      </c>
      <c r="D59" s="34" t="s">
        <v>237</v>
      </c>
      <c r="E59" s="34"/>
      <c r="F59" s="34"/>
      <c r="G59" s="34"/>
      <c r="H59" s="34"/>
      <c r="I59" s="34"/>
      <c r="J59" s="34"/>
    </row>
    <row r="60" spans="1:10" ht="18" customHeight="1" x14ac:dyDescent="0.3">
      <c r="A60" s="23" t="s">
        <v>454</v>
      </c>
      <c r="B60" s="44">
        <f>SUM(B50:B55)</f>
        <v>121370.23417263363</v>
      </c>
      <c r="C60" s="115">
        <f>SUM(B50:B55)</f>
        <v>121370.23417263363</v>
      </c>
      <c r="D60" s="235"/>
      <c r="E60" s="235"/>
      <c r="F60" s="235"/>
      <c r="G60" s="235"/>
      <c r="H60" s="235"/>
      <c r="I60" s="235"/>
      <c r="J60" s="235"/>
    </row>
    <row r="61" spans="1:10" ht="18" customHeight="1" x14ac:dyDescent="0.3">
      <c r="A61" s="23" t="s">
        <v>455</v>
      </c>
      <c r="B61" s="44">
        <f>Assumptions!C65-'Cost Comparison'!B37</f>
        <v>29327.074229647304</v>
      </c>
      <c r="C61" s="104" t="s">
        <v>456</v>
      </c>
      <c r="D61" s="232"/>
      <c r="E61" s="232"/>
      <c r="F61" s="232"/>
      <c r="G61" s="232"/>
      <c r="H61" s="232"/>
      <c r="I61" s="232"/>
      <c r="J61" s="232"/>
    </row>
    <row r="62" spans="1:10" ht="18" customHeight="1" x14ac:dyDescent="0.3">
      <c r="A62" s="23" t="s">
        <v>457</v>
      </c>
      <c r="B62" s="126">
        <f>(B60+'Financial Model (Jun26-Dec30)'!B11)/B61</f>
        <v>4.991219820511704</v>
      </c>
      <c r="C62" s="127" t="s">
        <v>458</v>
      </c>
      <c r="D62" s="235"/>
      <c r="E62" s="235"/>
      <c r="F62" s="235"/>
      <c r="G62" s="235"/>
      <c r="H62" s="235"/>
      <c r="I62" s="235"/>
      <c r="J62" s="235"/>
    </row>
    <row r="63" spans="1:10" ht="18" customHeight="1" x14ac:dyDescent="0.3">
      <c r="A63" s="23" t="s">
        <v>459</v>
      </c>
      <c r="B63" s="44">
        <f>B61*12-B60</f>
        <v>230554.65658313403</v>
      </c>
      <c r="C63" s="73" t="s">
        <v>460</v>
      </c>
      <c r="D63" s="232"/>
      <c r="E63" s="232"/>
      <c r="F63" s="232"/>
      <c r="G63" s="232"/>
      <c r="H63" s="232"/>
      <c r="I63" s="232"/>
      <c r="J63" s="232"/>
    </row>
    <row r="64" spans="1:10" ht="18" customHeight="1" x14ac:dyDescent="0.3">
      <c r="A64" s="23" t="s">
        <v>461</v>
      </c>
      <c r="B64" s="44">
        <f>B61*48-B60</f>
        <v>1286329.328850437</v>
      </c>
      <c r="C64" s="116" t="s">
        <v>462</v>
      </c>
      <c r="D64" s="235"/>
      <c r="E64" s="235"/>
      <c r="F64" s="235"/>
      <c r="G64" s="235"/>
      <c r="H64" s="235"/>
      <c r="I64" s="235"/>
      <c r="J64" s="235"/>
    </row>
  </sheetData>
  <mergeCells count="48">
    <mergeCell ref="D64:J64"/>
    <mergeCell ref="A58:J58"/>
    <mergeCell ref="D60:J60"/>
    <mergeCell ref="D61:J61"/>
    <mergeCell ref="D62:J62"/>
    <mergeCell ref="D63:J63"/>
    <mergeCell ref="F52:J52"/>
    <mergeCell ref="F53:J53"/>
    <mergeCell ref="F54:J54"/>
    <mergeCell ref="F55:J55"/>
    <mergeCell ref="A56:B56"/>
    <mergeCell ref="D56:J56"/>
    <mergeCell ref="A46:E46"/>
    <mergeCell ref="G46:J46"/>
    <mergeCell ref="A48:J48"/>
    <mergeCell ref="F50:J50"/>
    <mergeCell ref="F51:J51"/>
    <mergeCell ref="H41:J41"/>
    <mergeCell ref="H42:J42"/>
    <mergeCell ref="H43:J43"/>
    <mergeCell ref="H44:J44"/>
    <mergeCell ref="H45:J45"/>
    <mergeCell ref="I33:J33"/>
    <mergeCell ref="I34:J34"/>
    <mergeCell ref="I35:J35"/>
    <mergeCell ref="A38:J38"/>
    <mergeCell ref="H40:J40"/>
    <mergeCell ref="A22:J22"/>
    <mergeCell ref="A28:G28"/>
    <mergeCell ref="I28:J28"/>
    <mergeCell ref="A30:J30"/>
    <mergeCell ref="A31:J31"/>
    <mergeCell ref="A14:J14"/>
    <mergeCell ref="A15:J15"/>
    <mergeCell ref="A19:G19"/>
    <mergeCell ref="I19:J19"/>
    <mergeCell ref="A21:J21"/>
    <mergeCell ref="I8:J8"/>
    <mergeCell ref="I9:J9"/>
    <mergeCell ref="I10:J10"/>
    <mergeCell ref="I11:J11"/>
    <mergeCell ref="A12:F12"/>
    <mergeCell ref="H12:J12"/>
    <mergeCell ref="A1:J1"/>
    <mergeCell ref="A2:J2"/>
    <mergeCell ref="A4:J4"/>
    <mergeCell ref="A5:J5"/>
    <mergeCell ref="I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6" customWidth="1"/>
    <col min="2" max="2" width="46" customWidth="1"/>
    <col min="3" max="5" width="12" customWidth="1"/>
    <col min="6" max="6" width="40" customWidth="1"/>
    <col min="7" max="7" width="14" customWidth="1"/>
    <col min="8" max="8" width="20" customWidth="1"/>
  </cols>
  <sheetData>
    <row r="1" spans="1:8" ht="27.75" customHeight="1" x14ac:dyDescent="0.3">
      <c r="A1" s="14" t="s">
        <v>463</v>
      </c>
      <c r="B1" s="14"/>
      <c r="C1" s="14"/>
      <c r="D1" s="14"/>
      <c r="E1" s="14"/>
      <c r="F1" s="14"/>
      <c r="G1" s="14"/>
      <c r="H1" s="14"/>
    </row>
    <row r="2" spans="1:8" ht="12.75" customHeight="1" x14ac:dyDescent="0.3">
      <c r="A2" s="13" t="s">
        <v>464</v>
      </c>
      <c r="B2" s="13"/>
      <c r="C2" s="13"/>
      <c r="D2" s="13"/>
      <c r="E2" s="13"/>
      <c r="F2" s="13"/>
      <c r="G2" s="13"/>
      <c r="H2" s="13"/>
    </row>
    <row r="4" spans="1:8" ht="18" customHeight="1" x14ac:dyDescent="0.3">
      <c r="A4" s="12" t="s">
        <v>465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5" t="s">
        <v>466</v>
      </c>
      <c r="B5" s="15" t="s">
        <v>467</v>
      </c>
      <c r="C5" s="15" t="s">
        <v>468</v>
      </c>
      <c r="D5" s="15" t="s">
        <v>469</v>
      </c>
      <c r="E5" s="15" t="s">
        <v>470</v>
      </c>
      <c r="F5" s="15" t="s">
        <v>471</v>
      </c>
      <c r="G5" s="15" t="s">
        <v>472</v>
      </c>
      <c r="H5" s="15"/>
    </row>
    <row r="6" spans="1:8" ht="30" customHeight="1" x14ac:dyDescent="0.3">
      <c r="A6" s="128" t="s">
        <v>473</v>
      </c>
      <c r="B6" s="129" t="s">
        <v>474</v>
      </c>
      <c r="C6" s="41" t="s">
        <v>475</v>
      </c>
      <c r="D6" s="66" t="s">
        <v>476</v>
      </c>
      <c r="E6" s="130" t="s">
        <v>477</v>
      </c>
      <c r="F6" s="129" t="s">
        <v>478</v>
      </c>
      <c r="G6" s="131" t="s">
        <v>479</v>
      </c>
      <c r="H6" s="41"/>
    </row>
    <row r="7" spans="1:8" ht="30" customHeight="1" x14ac:dyDescent="0.3">
      <c r="A7" s="128" t="s">
        <v>480</v>
      </c>
      <c r="B7" s="132" t="s">
        <v>474</v>
      </c>
      <c r="C7" s="46" t="s">
        <v>481</v>
      </c>
      <c r="D7" s="71" t="s">
        <v>11</v>
      </c>
      <c r="E7" s="130" t="s">
        <v>482</v>
      </c>
      <c r="F7" s="132" t="s">
        <v>483</v>
      </c>
      <c r="G7" s="131" t="s">
        <v>479</v>
      </c>
      <c r="H7" s="46"/>
    </row>
    <row r="8" spans="1:8" ht="30" customHeight="1" x14ac:dyDescent="0.3">
      <c r="A8" s="128" t="s">
        <v>484</v>
      </c>
      <c r="B8" s="129" t="s">
        <v>474</v>
      </c>
      <c r="C8" s="41" t="s">
        <v>485</v>
      </c>
      <c r="D8" s="66" t="s">
        <v>486</v>
      </c>
      <c r="E8" s="130" t="s">
        <v>487</v>
      </c>
      <c r="F8" s="129" t="s">
        <v>478</v>
      </c>
      <c r="G8" s="133" t="s">
        <v>488</v>
      </c>
      <c r="H8" s="41"/>
    </row>
    <row r="9" spans="1:8" ht="30" customHeight="1" x14ac:dyDescent="0.3">
      <c r="A9" s="128" t="s">
        <v>489</v>
      </c>
      <c r="B9" s="132" t="s">
        <v>490</v>
      </c>
      <c r="C9" s="46" t="s">
        <v>491</v>
      </c>
      <c r="D9" s="71" t="s">
        <v>492</v>
      </c>
      <c r="E9" s="130" t="s">
        <v>493</v>
      </c>
      <c r="F9" s="132" t="s">
        <v>494</v>
      </c>
      <c r="G9" s="134" t="s">
        <v>495</v>
      </c>
      <c r="H9" s="46"/>
    </row>
    <row r="10" spans="1:8" ht="30" customHeight="1" x14ac:dyDescent="0.3">
      <c r="A10" s="128" t="s">
        <v>496</v>
      </c>
      <c r="B10" s="129" t="s">
        <v>490</v>
      </c>
      <c r="C10" s="41" t="s">
        <v>497</v>
      </c>
      <c r="D10" s="66" t="s">
        <v>498</v>
      </c>
      <c r="E10" s="130" t="s">
        <v>499</v>
      </c>
      <c r="F10" s="129" t="s">
        <v>500</v>
      </c>
      <c r="G10" s="134" t="s">
        <v>501</v>
      </c>
      <c r="H10" s="41"/>
    </row>
    <row r="11" spans="1:8" ht="30" customHeight="1" x14ac:dyDescent="0.3">
      <c r="A11" s="128" t="s">
        <v>9</v>
      </c>
      <c r="B11" s="132" t="s">
        <v>490</v>
      </c>
      <c r="C11" s="46" t="s">
        <v>502</v>
      </c>
      <c r="D11" s="71" t="s">
        <v>503</v>
      </c>
      <c r="E11" s="130" t="s">
        <v>504</v>
      </c>
      <c r="F11" s="132" t="s">
        <v>500</v>
      </c>
      <c r="G11" s="134" t="s">
        <v>495</v>
      </c>
      <c r="H11" s="46"/>
    </row>
    <row r="12" spans="1:8" ht="30" customHeight="1" x14ac:dyDescent="0.3">
      <c r="A12" s="128" t="s">
        <v>13</v>
      </c>
      <c r="B12" s="129" t="s">
        <v>505</v>
      </c>
      <c r="C12" s="41" t="s">
        <v>506</v>
      </c>
      <c r="D12" s="66" t="s">
        <v>507</v>
      </c>
      <c r="E12" s="130" t="s">
        <v>508</v>
      </c>
      <c r="F12" s="129" t="s">
        <v>478</v>
      </c>
      <c r="G12" s="134" t="s">
        <v>509</v>
      </c>
      <c r="H12" s="41"/>
    </row>
    <row r="13" spans="1:8" ht="30" customHeight="1" x14ac:dyDescent="0.3">
      <c r="A13" s="128" t="s">
        <v>15</v>
      </c>
      <c r="B13" s="132" t="s">
        <v>505</v>
      </c>
      <c r="C13" s="46" t="s">
        <v>510</v>
      </c>
      <c r="D13" s="71" t="s">
        <v>511</v>
      </c>
      <c r="E13" s="130" t="s">
        <v>512</v>
      </c>
      <c r="F13" s="132" t="s">
        <v>513</v>
      </c>
      <c r="G13" s="134" t="s">
        <v>514</v>
      </c>
      <c r="H13" s="46"/>
    </row>
    <row r="14" spans="1:8" ht="30" customHeight="1" x14ac:dyDescent="0.3">
      <c r="A14" s="128" t="s">
        <v>17</v>
      </c>
      <c r="B14" s="129" t="s">
        <v>505</v>
      </c>
      <c r="C14" s="41" t="s">
        <v>515</v>
      </c>
      <c r="D14" s="66" t="s">
        <v>516</v>
      </c>
      <c r="E14" s="130" t="s">
        <v>517</v>
      </c>
      <c r="F14" s="129" t="s">
        <v>518</v>
      </c>
      <c r="G14" s="134" t="s">
        <v>519</v>
      </c>
      <c r="H14" s="41"/>
    </row>
    <row r="15" spans="1:8" ht="30" customHeight="1" x14ac:dyDescent="0.3">
      <c r="A15" s="128" t="s">
        <v>19</v>
      </c>
      <c r="B15" s="132" t="s">
        <v>520</v>
      </c>
      <c r="C15" s="46" t="s">
        <v>521</v>
      </c>
      <c r="D15" s="71" t="s">
        <v>522</v>
      </c>
      <c r="E15" s="130" t="s">
        <v>523</v>
      </c>
      <c r="F15" s="132" t="s">
        <v>478</v>
      </c>
      <c r="G15" s="134" t="s">
        <v>524</v>
      </c>
      <c r="H15" s="46"/>
    </row>
    <row r="16" spans="1:8" ht="30" customHeight="1" x14ac:dyDescent="0.3">
      <c r="A16" s="128" t="s">
        <v>21</v>
      </c>
      <c r="B16" s="129" t="s">
        <v>520</v>
      </c>
      <c r="C16" s="41" t="s">
        <v>525</v>
      </c>
      <c r="D16" s="66" t="s">
        <v>526</v>
      </c>
      <c r="E16" s="130" t="s">
        <v>527</v>
      </c>
      <c r="F16" s="129" t="s">
        <v>528</v>
      </c>
      <c r="G16" s="134" t="s">
        <v>495</v>
      </c>
      <c r="H16" s="41"/>
    </row>
    <row r="17" spans="1:8" ht="30" customHeight="1" x14ac:dyDescent="0.3">
      <c r="A17" s="128" t="s">
        <v>25</v>
      </c>
      <c r="B17" s="132" t="s">
        <v>529</v>
      </c>
      <c r="C17" s="46" t="s">
        <v>530</v>
      </c>
      <c r="D17" s="71" t="s">
        <v>531</v>
      </c>
      <c r="E17" s="130" t="s">
        <v>532</v>
      </c>
      <c r="F17" s="132" t="s">
        <v>533</v>
      </c>
      <c r="G17" s="135" t="s">
        <v>534</v>
      </c>
      <c r="H17" s="46"/>
    </row>
    <row r="18" spans="1:8" ht="30" customHeight="1" x14ac:dyDescent="0.3">
      <c r="A18" s="128" t="s">
        <v>29</v>
      </c>
      <c r="B18" s="129" t="s">
        <v>529</v>
      </c>
      <c r="C18" s="41" t="s">
        <v>535</v>
      </c>
      <c r="D18" s="66" t="s">
        <v>536</v>
      </c>
      <c r="E18" s="130" t="s">
        <v>537</v>
      </c>
      <c r="F18" s="129" t="s">
        <v>538</v>
      </c>
      <c r="G18" s="134" t="s">
        <v>539</v>
      </c>
      <c r="H18" s="41"/>
    </row>
    <row r="19" spans="1:8" ht="30" customHeight="1" x14ac:dyDescent="0.3">
      <c r="A19" s="128" t="s">
        <v>32</v>
      </c>
      <c r="B19" s="132" t="s">
        <v>529</v>
      </c>
      <c r="C19" s="46" t="s">
        <v>540</v>
      </c>
      <c r="D19" s="71" t="s">
        <v>541</v>
      </c>
      <c r="E19" s="130" t="s">
        <v>537</v>
      </c>
      <c r="F19" s="132" t="s">
        <v>538</v>
      </c>
      <c r="G19" s="134" t="s">
        <v>539</v>
      </c>
      <c r="H19" s="46"/>
    </row>
    <row r="20" spans="1:8" ht="30" customHeight="1" x14ac:dyDescent="0.3">
      <c r="A20" s="128" t="s">
        <v>36</v>
      </c>
      <c r="B20" s="129" t="s">
        <v>542</v>
      </c>
      <c r="C20" s="41" t="s">
        <v>543</v>
      </c>
      <c r="D20" s="66" t="s">
        <v>544</v>
      </c>
      <c r="E20" s="130" t="s">
        <v>545</v>
      </c>
      <c r="F20" s="129" t="s">
        <v>546</v>
      </c>
      <c r="G20" s="134" t="s">
        <v>547</v>
      </c>
      <c r="H20" s="41"/>
    </row>
    <row r="21" spans="1:8" ht="30" customHeight="1" x14ac:dyDescent="0.3">
      <c r="A21" s="128" t="s">
        <v>40</v>
      </c>
      <c r="B21" s="132" t="s">
        <v>542</v>
      </c>
      <c r="C21" s="46" t="s">
        <v>548</v>
      </c>
      <c r="D21" s="71" t="s">
        <v>549</v>
      </c>
      <c r="E21" s="130" t="s">
        <v>550</v>
      </c>
      <c r="F21" s="132" t="s">
        <v>478</v>
      </c>
      <c r="G21" s="134" t="s">
        <v>551</v>
      </c>
      <c r="H21" s="46"/>
    </row>
    <row r="24" spans="1:8" ht="18" customHeight="1" x14ac:dyDescent="0.3">
      <c r="A24" s="8" t="s">
        <v>552</v>
      </c>
      <c r="B24" s="8"/>
      <c r="C24" s="8"/>
      <c r="D24" s="8"/>
      <c r="E24" s="8"/>
      <c r="F24" s="8"/>
      <c r="G24" s="8"/>
      <c r="H24" s="8"/>
    </row>
    <row r="25" spans="1:8" ht="27.75" customHeight="1" x14ac:dyDescent="0.3">
      <c r="A25" s="28" t="s">
        <v>466</v>
      </c>
      <c r="B25" s="28" t="s">
        <v>553</v>
      </c>
      <c r="C25" s="28" t="s">
        <v>554</v>
      </c>
      <c r="D25" s="28" t="s">
        <v>555</v>
      </c>
      <c r="E25" s="28" t="s">
        <v>556</v>
      </c>
      <c r="F25" s="28" t="s">
        <v>557</v>
      </c>
      <c r="G25" s="28" t="s">
        <v>558</v>
      </c>
      <c r="H25" s="28" t="s">
        <v>471</v>
      </c>
    </row>
    <row r="26" spans="1:8" ht="51.75" customHeight="1" x14ac:dyDescent="0.3">
      <c r="A26" s="135" t="s">
        <v>559</v>
      </c>
      <c r="B26" s="136" t="s">
        <v>560</v>
      </c>
      <c r="C26" s="135" t="s">
        <v>561</v>
      </c>
      <c r="D26" s="135" t="s">
        <v>561</v>
      </c>
      <c r="E26" s="135" t="s">
        <v>562</v>
      </c>
      <c r="F26" s="136" t="s">
        <v>563</v>
      </c>
      <c r="G26" s="134" t="s">
        <v>564</v>
      </c>
      <c r="H26" s="137" t="s">
        <v>478</v>
      </c>
    </row>
    <row r="27" spans="1:8" ht="51.75" customHeight="1" x14ac:dyDescent="0.3">
      <c r="A27" s="135" t="s">
        <v>565</v>
      </c>
      <c r="B27" s="138" t="s">
        <v>566</v>
      </c>
      <c r="C27" s="134" t="s">
        <v>564</v>
      </c>
      <c r="D27" s="134" t="s">
        <v>564</v>
      </c>
      <c r="E27" s="133" t="s">
        <v>567</v>
      </c>
      <c r="F27" s="138" t="s">
        <v>568</v>
      </c>
      <c r="G27" s="131" t="s">
        <v>569</v>
      </c>
      <c r="H27" s="139" t="s">
        <v>570</v>
      </c>
    </row>
    <row r="28" spans="1:8" ht="51.75" customHeight="1" x14ac:dyDescent="0.3">
      <c r="A28" s="135" t="s">
        <v>571</v>
      </c>
      <c r="B28" s="136" t="s">
        <v>572</v>
      </c>
      <c r="C28" s="134" t="s">
        <v>564</v>
      </c>
      <c r="D28" s="135" t="s">
        <v>561</v>
      </c>
      <c r="E28" s="135" t="s">
        <v>573</v>
      </c>
      <c r="F28" s="136" t="s">
        <v>574</v>
      </c>
      <c r="G28" s="134" t="s">
        <v>564</v>
      </c>
      <c r="H28" s="137" t="s">
        <v>575</v>
      </c>
    </row>
    <row r="29" spans="1:8" ht="51.75" customHeight="1" x14ac:dyDescent="0.3">
      <c r="A29" s="135" t="s">
        <v>576</v>
      </c>
      <c r="B29" s="138" t="s">
        <v>577</v>
      </c>
      <c r="C29" s="131" t="s">
        <v>569</v>
      </c>
      <c r="D29" s="135" t="s">
        <v>578</v>
      </c>
      <c r="E29" s="133" t="s">
        <v>567</v>
      </c>
      <c r="F29" s="138" t="s">
        <v>579</v>
      </c>
      <c r="G29" s="131" t="s">
        <v>569</v>
      </c>
      <c r="H29" s="139" t="s">
        <v>528</v>
      </c>
    </row>
    <row r="30" spans="1:8" ht="51.75" customHeight="1" x14ac:dyDescent="0.3">
      <c r="A30" s="135" t="s">
        <v>580</v>
      </c>
      <c r="B30" s="136" t="s">
        <v>581</v>
      </c>
      <c r="C30" s="134" t="s">
        <v>564</v>
      </c>
      <c r="D30" s="134" t="s">
        <v>564</v>
      </c>
      <c r="E30" s="133" t="s">
        <v>567</v>
      </c>
      <c r="F30" s="136" t="s">
        <v>582</v>
      </c>
      <c r="G30" s="131" t="s">
        <v>569</v>
      </c>
      <c r="H30" s="137" t="s">
        <v>478</v>
      </c>
    </row>
    <row r="31" spans="1:8" ht="51.75" customHeight="1" x14ac:dyDescent="0.3">
      <c r="A31" s="135" t="s">
        <v>583</v>
      </c>
      <c r="B31" s="138" t="s">
        <v>584</v>
      </c>
      <c r="C31" s="131" t="s">
        <v>569</v>
      </c>
      <c r="D31" s="135" t="s">
        <v>578</v>
      </c>
      <c r="E31" s="133" t="s">
        <v>567</v>
      </c>
      <c r="F31" s="138" t="s">
        <v>585</v>
      </c>
      <c r="G31" s="131" t="s">
        <v>569</v>
      </c>
      <c r="H31" s="139" t="s">
        <v>586</v>
      </c>
    </row>
    <row r="32" spans="1:8" ht="51.75" customHeight="1" x14ac:dyDescent="0.3">
      <c r="A32" s="135" t="s">
        <v>587</v>
      </c>
      <c r="B32" s="136" t="s">
        <v>588</v>
      </c>
      <c r="C32" s="134" t="s">
        <v>564</v>
      </c>
      <c r="D32" s="134" t="s">
        <v>564</v>
      </c>
      <c r="E32" s="133" t="s">
        <v>567</v>
      </c>
      <c r="F32" s="136" t="s">
        <v>589</v>
      </c>
      <c r="G32" s="131" t="s">
        <v>569</v>
      </c>
      <c r="H32" s="137" t="s">
        <v>590</v>
      </c>
    </row>
    <row r="33" spans="1:8" ht="51.75" customHeight="1" x14ac:dyDescent="0.3">
      <c r="A33" s="135" t="s">
        <v>591</v>
      </c>
      <c r="B33" s="138" t="s">
        <v>592</v>
      </c>
      <c r="C33" s="134" t="s">
        <v>564</v>
      </c>
      <c r="D33" s="135" t="s">
        <v>561</v>
      </c>
      <c r="E33" s="135" t="s">
        <v>573</v>
      </c>
      <c r="F33" s="138" t="s">
        <v>593</v>
      </c>
      <c r="G33" s="134" t="s">
        <v>564</v>
      </c>
      <c r="H33" s="139" t="s">
        <v>594</v>
      </c>
    </row>
    <row r="34" spans="1:8" ht="51.75" customHeight="1" x14ac:dyDescent="0.3">
      <c r="A34" s="135" t="s">
        <v>595</v>
      </c>
      <c r="B34" s="136" t="s">
        <v>596</v>
      </c>
      <c r="C34" s="131" t="s">
        <v>569</v>
      </c>
      <c r="D34" s="135" t="s">
        <v>578</v>
      </c>
      <c r="E34" s="133" t="s">
        <v>567</v>
      </c>
      <c r="F34" s="136" t="s">
        <v>597</v>
      </c>
      <c r="G34" s="131" t="s">
        <v>569</v>
      </c>
      <c r="H34" s="137" t="s">
        <v>598</v>
      </c>
    </row>
    <row r="35" spans="1:8" ht="51.75" customHeight="1" x14ac:dyDescent="0.3">
      <c r="A35" s="135" t="s">
        <v>599</v>
      </c>
      <c r="B35" s="138" t="s">
        <v>600</v>
      </c>
      <c r="C35" s="134" t="s">
        <v>564</v>
      </c>
      <c r="D35" s="134" t="s">
        <v>564</v>
      </c>
      <c r="E35" s="133" t="s">
        <v>567</v>
      </c>
      <c r="F35" s="138" t="s">
        <v>601</v>
      </c>
      <c r="G35" s="131" t="s">
        <v>569</v>
      </c>
      <c r="H35" s="139" t="s">
        <v>518</v>
      </c>
    </row>
  </sheetData>
  <mergeCells count="4">
    <mergeCell ref="A1:H1"/>
    <mergeCell ref="A2:H2"/>
    <mergeCell ref="A4:H4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2"/>
  <sheetViews>
    <sheetView showGridLines="0" topLeftCell="A3" zoomScaleNormal="100" workbookViewId="0">
      <selection sqref="A1:L1"/>
    </sheetView>
  </sheetViews>
  <sheetFormatPr defaultColWidth="8.6640625" defaultRowHeight="14.4" x14ac:dyDescent="0.3"/>
  <cols>
    <col min="1" max="1" width="10" customWidth="1"/>
    <col min="2" max="2" width="14" customWidth="1"/>
    <col min="3" max="3" width="42" customWidth="1"/>
    <col min="4" max="4" width="20" customWidth="1"/>
    <col min="5" max="5" width="42" customWidth="1"/>
    <col min="6" max="6" width="30" customWidth="1"/>
    <col min="7" max="12" width="1" customWidth="1"/>
  </cols>
  <sheetData>
    <row r="1" spans="1:12" ht="27.75" customHeight="1" x14ac:dyDescent="0.3">
      <c r="A1" s="14" t="s">
        <v>602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2.75" customHeight="1" x14ac:dyDescent="0.3">
      <c r="A2" s="13" t="s">
        <v>603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8" customHeight="1" x14ac:dyDescent="0.3">
      <c r="A4" s="12" t="s">
        <v>604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5" t="s">
        <v>605</v>
      </c>
      <c r="B5" s="15" t="s">
        <v>606</v>
      </c>
      <c r="C5" s="15" t="s">
        <v>607</v>
      </c>
      <c r="D5" s="15" t="s">
        <v>608</v>
      </c>
      <c r="E5" s="15" t="s">
        <v>609</v>
      </c>
      <c r="F5" s="15" t="s">
        <v>610</v>
      </c>
      <c r="G5" s="15" t="s">
        <v>611</v>
      </c>
      <c r="H5" s="15" t="s">
        <v>612</v>
      </c>
      <c r="I5" s="15" t="s">
        <v>613</v>
      </c>
      <c r="J5" s="15" t="s">
        <v>471</v>
      </c>
      <c r="K5" s="15" t="s">
        <v>614</v>
      </c>
      <c r="L5" s="15" t="s">
        <v>472</v>
      </c>
    </row>
    <row r="6" spans="1:12" ht="27.75" customHeight="1" x14ac:dyDescent="0.3">
      <c r="A6" s="128" t="s">
        <v>615</v>
      </c>
      <c r="B6" s="140" t="s">
        <v>616</v>
      </c>
      <c r="C6" s="141" t="s">
        <v>617</v>
      </c>
      <c r="D6" s="142"/>
      <c r="E6" s="142"/>
      <c r="F6" s="142"/>
      <c r="G6" s="142"/>
      <c r="H6" s="142"/>
      <c r="I6" s="143" t="s">
        <v>618</v>
      </c>
      <c r="J6" s="128" t="s">
        <v>478</v>
      </c>
      <c r="K6" s="144">
        <f>SUM(F41:F43)</f>
        <v>0</v>
      </c>
      <c r="L6" s="145" t="s">
        <v>619</v>
      </c>
    </row>
    <row r="7" spans="1:12" ht="27.75" customHeight="1" x14ac:dyDescent="0.3">
      <c r="A7" s="131" t="s">
        <v>620</v>
      </c>
      <c r="B7" s="125" t="s">
        <v>621</v>
      </c>
      <c r="C7" s="146"/>
      <c r="D7" s="147" t="s">
        <v>617</v>
      </c>
      <c r="E7" s="146"/>
      <c r="F7" s="146"/>
      <c r="G7" s="146"/>
      <c r="H7" s="146"/>
      <c r="I7" s="148" t="s">
        <v>622</v>
      </c>
      <c r="J7" s="131" t="s">
        <v>528</v>
      </c>
      <c r="K7" s="27" t="s">
        <v>623</v>
      </c>
      <c r="L7" s="145" t="s">
        <v>619</v>
      </c>
    </row>
    <row r="8" spans="1:12" ht="27.75" customHeight="1" x14ac:dyDescent="0.3">
      <c r="A8" s="131" t="s">
        <v>624</v>
      </c>
      <c r="B8" s="125" t="s">
        <v>346</v>
      </c>
      <c r="C8" s="146"/>
      <c r="D8" s="146"/>
      <c r="E8" s="147" t="s">
        <v>617</v>
      </c>
      <c r="F8" s="146"/>
      <c r="G8" s="146"/>
      <c r="H8" s="146"/>
      <c r="I8" s="148" t="s">
        <v>625</v>
      </c>
      <c r="J8" s="131" t="s">
        <v>528</v>
      </c>
      <c r="K8" s="149">
        <f>H17*0.27</f>
        <v>0</v>
      </c>
      <c r="L8" s="145" t="s">
        <v>619</v>
      </c>
    </row>
    <row r="9" spans="1:12" ht="27.75" customHeight="1" x14ac:dyDescent="0.3">
      <c r="A9" s="133" t="s">
        <v>626</v>
      </c>
      <c r="B9" s="150" t="s">
        <v>627</v>
      </c>
      <c r="C9" s="151"/>
      <c r="D9" s="151"/>
      <c r="E9" s="151"/>
      <c r="F9" s="152" t="s">
        <v>617</v>
      </c>
      <c r="G9" s="151"/>
      <c r="H9" s="151"/>
      <c r="I9" s="153" t="s">
        <v>628</v>
      </c>
      <c r="J9" s="133" t="s">
        <v>528</v>
      </c>
      <c r="K9" s="154">
        <f>H17*0.35</f>
        <v>0</v>
      </c>
      <c r="L9" s="145" t="s">
        <v>619</v>
      </c>
    </row>
    <row r="10" spans="1:12" ht="27.75" customHeight="1" x14ac:dyDescent="0.3">
      <c r="A10" s="133" t="s">
        <v>629</v>
      </c>
      <c r="B10" s="150" t="s">
        <v>630</v>
      </c>
      <c r="C10" s="151"/>
      <c r="D10" s="151"/>
      <c r="E10" s="151"/>
      <c r="F10" s="151"/>
      <c r="G10" s="152" t="s">
        <v>617</v>
      </c>
      <c r="H10" s="151"/>
      <c r="I10" s="153" t="s">
        <v>631</v>
      </c>
      <c r="J10" s="133" t="s">
        <v>528</v>
      </c>
      <c r="K10" s="154">
        <f>H17*0.38</f>
        <v>0</v>
      </c>
      <c r="L10" s="145" t="s">
        <v>619</v>
      </c>
    </row>
    <row r="11" spans="1:12" ht="27.75" customHeight="1" x14ac:dyDescent="0.3">
      <c r="A11" s="134" t="s">
        <v>632</v>
      </c>
      <c r="B11" s="155" t="s">
        <v>633</v>
      </c>
      <c r="C11" s="156"/>
      <c r="D11" s="156"/>
      <c r="E11" s="156"/>
      <c r="F11" s="156"/>
      <c r="G11" s="156"/>
      <c r="H11" s="157" t="s">
        <v>617</v>
      </c>
      <c r="I11" s="158" t="s">
        <v>634</v>
      </c>
      <c r="J11" s="134" t="s">
        <v>590</v>
      </c>
      <c r="K11" s="159" t="s">
        <v>635</v>
      </c>
      <c r="L11" s="145" t="s">
        <v>619</v>
      </c>
    </row>
    <row r="13" spans="1:12" ht="18" customHeight="1" x14ac:dyDescent="0.3">
      <c r="A13" s="12" t="s">
        <v>636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4" customHeight="1" x14ac:dyDescent="0.3">
      <c r="A14" s="15" t="s">
        <v>637</v>
      </c>
      <c r="B14" s="15" t="s">
        <v>467</v>
      </c>
      <c r="C14" s="15" t="s">
        <v>638</v>
      </c>
      <c r="D14" s="15" t="s">
        <v>471</v>
      </c>
      <c r="E14" s="15" t="s">
        <v>639</v>
      </c>
      <c r="F14" s="15" t="s">
        <v>640</v>
      </c>
      <c r="G14" s="15"/>
      <c r="H14" s="15"/>
      <c r="I14" s="15"/>
      <c r="J14" s="15"/>
      <c r="K14" s="15"/>
      <c r="L14" s="15"/>
    </row>
    <row r="15" spans="1:12" ht="36" customHeight="1" x14ac:dyDescent="0.3">
      <c r="A15" s="132" t="s">
        <v>641</v>
      </c>
      <c r="B15" s="29" t="s">
        <v>542</v>
      </c>
      <c r="C15" s="46" t="s">
        <v>642</v>
      </c>
      <c r="D15" s="132" t="s">
        <v>594</v>
      </c>
      <c r="E15" s="160" t="s">
        <v>643</v>
      </c>
      <c r="F15" s="236" t="s">
        <v>644</v>
      </c>
      <c r="G15" s="236"/>
      <c r="H15" s="236"/>
      <c r="I15" s="236"/>
      <c r="J15" s="236"/>
      <c r="K15" s="236"/>
      <c r="L15" s="236"/>
    </row>
    <row r="16" spans="1:12" ht="36" customHeight="1" x14ac:dyDescent="0.3">
      <c r="A16" s="129" t="s">
        <v>641</v>
      </c>
      <c r="B16" s="16" t="s">
        <v>645</v>
      </c>
      <c r="C16" s="41" t="s">
        <v>646</v>
      </c>
      <c r="D16" s="129" t="s">
        <v>478</v>
      </c>
      <c r="E16" s="161" t="s">
        <v>647</v>
      </c>
      <c r="F16" s="236" t="s">
        <v>648</v>
      </c>
      <c r="G16" s="236"/>
      <c r="H16" s="236"/>
      <c r="I16" s="236"/>
      <c r="J16" s="236"/>
      <c r="K16" s="236"/>
      <c r="L16" s="236"/>
    </row>
    <row r="17" spans="1:12" ht="36" customHeight="1" x14ac:dyDescent="0.3">
      <c r="A17" s="132" t="s">
        <v>641</v>
      </c>
      <c r="B17" s="16" t="s">
        <v>645</v>
      </c>
      <c r="C17" s="46" t="s">
        <v>649</v>
      </c>
      <c r="D17" s="132" t="s">
        <v>478</v>
      </c>
      <c r="E17" s="160" t="s">
        <v>650</v>
      </c>
      <c r="F17" s="236" t="s">
        <v>651</v>
      </c>
      <c r="G17" s="236"/>
      <c r="H17" s="236"/>
      <c r="I17" s="236"/>
      <c r="J17" s="236"/>
      <c r="K17" s="236"/>
      <c r="L17" s="236"/>
    </row>
    <row r="18" spans="1:12" ht="36" customHeight="1" x14ac:dyDescent="0.3">
      <c r="A18" s="129" t="s">
        <v>652</v>
      </c>
      <c r="B18" s="16" t="s">
        <v>645</v>
      </c>
      <c r="C18" s="41" t="s">
        <v>653</v>
      </c>
      <c r="D18" s="129" t="s">
        <v>478</v>
      </c>
      <c r="E18" s="161" t="s">
        <v>654</v>
      </c>
      <c r="F18" s="236" t="s">
        <v>655</v>
      </c>
      <c r="G18" s="236"/>
      <c r="H18" s="236"/>
      <c r="I18" s="236"/>
      <c r="J18" s="236"/>
      <c r="K18" s="236"/>
      <c r="L18" s="236"/>
    </row>
    <row r="19" spans="1:12" ht="36" customHeight="1" x14ac:dyDescent="0.3">
      <c r="A19" s="132" t="s">
        <v>652</v>
      </c>
      <c r="B19" s="16" t="s">
        <v>645</v>
      </c>
      <c r="C19" s="46" t="s">
        <v>656</v>
      </c>
      <c r="D19" s="132" t="s">
        <v>478</v>
      </c>
      <c r="E19" s="160" t="s">
        <v>657</v>
      </c>
      <c r="F19" s="236" t="s">
        <v>658</v>
      </c>
      <c r="G19" s="236"/>
      <c r="H19" s="236"/>
      <c r="I19" s="236"/>
      <c r="J19" s="236"/>
      <c r="K19" s="236"/>
      <c r="L19" s="236"/>
    </row>
    <row r="20" spans="1:12" ht="36" customHeight="1" x14ac:dyDescent="0.3">
      <c r="A20" s="129" t="s">
        <v>652</v>
      </c>
      <c r="B20" s="162" t="s">
        <v>659</v>
      </c>
      <c r="C20" s="41" t="s">
        <v>660</v>
      </c>
      <c r="D20" s="129" t="s">
        <v>478</v>
      </c>
      <c r="E20" s="161" t="s">
        <v>661</v>
      </c>
      <c r="F20" s="236" t="s">
        <v>662</v>
      </c>
      <c r="G20" s="236"/>
      <c r="H20" s="236"/>
      <c r="I20" s="236"/>
      <c r="J20" s="236"/>
      <c r="K20" s="236"/>
      <c r="L20" s="236"/>
    </row>
    <row r="21" spans="1:12" ht="36" customHeight="1" x14ac:dyDescent="0.3">
      <c r="A21" s="132" t="s">
        <v>663</v>
      </c>
      <c r="B21" s="162" t="s">
        <v>664</v>
      </c>
      <c r="C21" s="46" t="s">
        <v>665</v>
      </c>
      <c r="D21" s="132" t="s">
        <v>666</v>
      </c>
      <c r="E21" s="160" t="s">
        <v>667</v>
      </c>
      <c r="F21" s="236" t="s">
        <v>668</v>
      </c>
      <c r="G21" s="236"/>
      <c r="H21" s="236"/>
      <c r="I21" s="236"/>
      <c r="J21" s="236"/>
      <c r="K21" s="236"/>
      <c r="L21" s="236"/>
    </row>
    <row r="22" spans="1:12" ht="36" customHeight="1" x14ac:dyDescent="0.3">
      <c r="A22" s="129" t="s">
        <v>663</v>
      </c>
      <c r="B22" s="162" t="s">
        <v>664</v>
      </c>
      <c r="C22" s="41" t="s">
        <v>669</v>
      </c>
      <c r="D22" s="129" t="s">
        <v>478</v>
      </c>
      <c r="E22" s="161" t="s">
        <v>670</v>
      </c>
      <c r="F22" s="236" t="s">
        <v>671</v>
      </c>
      <c r="G22" s="236"/>
      <c r="H22" s="236"/>
      <c r="I22" s="236"/>
      <c r="J22" s="236"/>
      <c r="K22" s="236"/>
      <c r="L22" s="236"/>
    </row>
    <row r="23" spans="1:12" ht="36" customHeight="1" x14ac:dyDescent="0.3">
      <c r="A23" s="132" t="s">
        <v>672</v>
      </c>
      <c r="B23" s="162" t="s">
        <v>673</v>
      </c>
      <c r="C23" s="46" t="s">
        <v>674</v>
      </c>
      <c r="D23" s="132" t="s">
        <v>528</v>
      </c>
      <c r="E23" s="160" t="s">
        <v>675</v>
      </c>
      <c r="F23" s="236" t="s">
        <v>676</v>
      </c>
      <c r="G23" s="236"/>
      <c r="H23" s="236"/>
      <c r="I23" s="236"/>
      <c r="J23" s="236"/>
      <c r="K23" s="236"/>
      <c r="L23" s="236"/>
    </row>
    <row r="24" spans="1:12" ht="36" customHeight="1" x14ac:dyDescent="0.3">
      <c r="A24" s="129" t="s">
        <v>672</v>
      </c>
      <c r="B24" s="162" t="s">
        <v>677</v>
      </c>
      <c r="C24" s="41" t="s">
        <v>678</v>
      </c>
      <c r="D24" s="129" t="s">
        <v>528</v>
      </c>
      <c r="E24" s="161" t="s">
        <v>679</v>
      </c>
      <c r="F24" s="236" t="s">
        <v>680</v>
      </c>
      <c r="G24" s="236"/>
      <c r="H24" s="236"/>
      <c r="I24" s="236"/>
      <c r="J24" s="236"/>
      <c r="K24" s="236"/>
      <c r="L24" s="236"/>
    </row>
    <row r="27" spans="1:12" ht="18" customHeight="1" x14ac:dyDescent="0.3">
      <c r="A27" s="6" t="s">
        <v>681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24" customHeight="1" x14ac:dyDescent="0.3">
      <c r="A28" s="34" t="s">
        <v>637</v>
      </c>
      <c r="B28" s="34" t="s">
        <v>467</v>
      </c>
      <c r="C28" s="34" t="s">
        <v>638</v>
      </c>
      <c r="D28" s="34" t="s">
        <v>471</v>
      </c>
      <c r="E28" s="34" t="s">
        <v>639</v>
      </c>
      <c r="F28" s="34" t="s">
        <v>640</v>
      </c>
      <c r="G28" s="34"/>
      <c r="H28" s="34"/>
      <c r="I28" s="34"/>
      <c r="J28" s="34"/>
      <c r="K28" s="34"/>
      <c r="L28" s="34"/>
    </row>
    <row r="29" spans="1:12" ht="36" customHeight="1" x14ac:dyDescent="0.3">
      <c r="A29" s="132" t="s">
        <v>682</v>
      </c>
      <c r="B29" s="23" t="s">
        <v>520</v>
      </c>
      <c r="C29" s="46" t="s">
        <v>683</v>
      </c>
      <c r="D29" s="132" t="s">
        <v>528</v>
      </c>
      <c r="E29" s="160" t="s">
        <v>684</v>
      </c>
      <c r="F29" s="236" t="s">
        <v>685</v>
      </c>
      <c r="G29" s="236"/>
      <c r="H29" s="236"/>
      <c r="I29" s="236"/>
      <c r="J29" s="236"/>
      <c r="K29" s="236"/>
      <c r="L29" s="236"/>
    </row>
    <row r="30" spans="1:12" ht="36" customHeight="1" x14ac:dyDescent="0.3">
      <c r="A30" s="129" t="s">
        <v>682</v>
      </c>
      <c r="B30" s="23" t="s">
        <v>520</v>
      </c>
      <c r="C30" s="41" t="s">
        <v>686</v>
      </c>
      <c r="D30" s="129" t="s">
        <v>528</v>
      </c>
      <c r="E30" s="161" t="s">
        <v>687</v>
      </c>
      <c r="F30" s="236" t="s">
        <v>688</v>
      </c>
      <c r="G30" s="236"/>
      <c r="H30" s="236"/>
      <c r="I30" s="236"/>
      <c r="J30" s="236"/>
      <c r="K30" s="236"/>
      <c r="L30" s="236"/>
    </row>
    <row r="31" spans="1:12" ht="36" customHeight="1" x14ac:dyDescent="0.3">
      <c r="A31" s="132" t="s">
        <v>689</v>
      </c>
      <c r="B31" s="163" t="s">
        <v>690</v>
      </c>
      <c r="C31" s="46" t="s">
        <v>691</v>
      </c>
      <c r="D31" s="132" t="s">
        <v>528</v>
      </c>
      <c r="E31" s="160" t="s">
        <v>692</v>
      </c>
      <c r="F31" s="236" t="s">
        <v>693</v>
      </c>
      <c r="G31" s="236"/>
      <c r="H31" s="236"/>
      <c r="I31" s="236"/>
      <c r="J31" s="236"/>
      <c r="K31" s="236"/>
      <c r="L31" s="236"/>
    </row>
    <row r="32" spans="1:12" ht="36" customHeight="1" x14ac:dyDescent="0.3">
      <c r="A32" s="129" t="s">
        <v>689</v>
      </c>
      <c r="B32" s="163" t="s">
        <v>690</v>
      </c>
      <c r="C32" s="41" t="s">
        <v>694</v>
      </c>
      <c r="D32" s="129" t="s">
        <v>513</v>
      </c>
      <c r="E32" s="161" t="s">
        <v>695</v>
      </c>
      <c r="F32" s="236" t="s">
        <v>696</v>
      </c>
      <c r="G32" s="236"/>
      <c r="H32" s="236"/>
      <c r="I32" s="236"/>
      <c r="J32" s="236"/>
      <c r="K32" s="236"/>
      <c r="L32" s="236"/>
    </row>
    <row r="33" spans="1:12" ht="36" customHeight="1" x14ac:dyDescent="0.3">
      <c r="A33" s="132" t="s">
        <v>689</v>
      </c>
      <c r="B33" s="162" t="s">
        <v>697</v>
      </c>
      <c r="C33" s="46" t="s">
        <v>698</v>
      </c>
      <c r="D33" s="132" t="s">
        <v>699</v>
      </c>
      <c r="E33" s="160" t="s">
        <v>700</v>
      </c>
      <c r="F33" s="236" t="s">
        <v>701</v>
      </c>
      <c r="G33" s="236"/>
      <c r="H33" s="236"/>
      <c r="I33" s="236"/>
      <c r="J33" s="236"/>
      <c r="K33" s="236"/>
      <c r="L33" s="236"/>
    </row>
    <row r="34" spans="1:12" ht="36" customHeight="1" x14ac:dyDescent="0.3">
      <c r="A34" s="129" t="s">
        <v>702</v>
      </c>
      <c r="B34" s="162" t="s">
        <v>659</v>
      </c>
      <c r="C34" s="41" t="s">
        <v>703</v>
      </c>
      <c r="D34" s="129" t="s">
        <v>478</v>
      </c>
      <c r="E34" s="161" t="s">
        <v>704</v>
      </c>
      <c r="F34" s="236" t="s">
        <v>705</v>
      </c>
      <c r="G34" s="236"/>
      <c r="H34" s="236"/>
      <c r="I34" s="236"/>
      <c r="J34" s="236"/>
      <c r="K34" s="236"/>
      <c r="L34" s="236"/>
    </row>
    <row r="35" spans="1:12" ht="36" customHeight="1" x14ac:dyDescent="0.3">
      <c r="A35" s="132" t="s">
        <v>706</v>
      </c>
      <c r="B35" s="162" t="s">
        <v>707</v>
      </c>
      <c r="C35" s="46" t="s">
        <v>708</v>
      </c>
      <c r="D35" s="132" t="s">
        <v>494</v>
      </c>
      <c r="E35" s="160" t="s">
        <v>709</v>
      </c>
      <c r="F35" s="236" t="s">
        <v>710</v>
      </c>
      <c r="G35" s="236"/>
      <c r="H35" s="236"/>
      <c r="I35" s="236"/>
      <c r="J35" s="236"/>
      <c r="K35" s="236"/>
      <c r="L35" s="236"/>
    </row>
    <row r="38" spans="1:12" ht="18" customHeight="1" x14ac:dyDescent="0.3">
      <c r="A38" s="225" t="s">
        <v>711</v>
      </c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</row>
    <row r="39" spans="1:12" ht="24" customHeight="1" x14ac:dyDescent="0.3">
      <c r="A39" s="38" t="s">
        <v>637</v>
      </c>
      <c r="B39" s="38" t="s">
        <v>467</v>
      </c>
      <c r="C39" s="38" t="s">
        <v>638</v>
      </c>
      <c r="D39" s="38" t="s">
        <v>471</v>
      </c>
      <c r="E39" s="38" t="s">
        <v>639</v>
      </c>
      <c r="F39" s="38" t="s">
        <v>640</v>
      </c>
      <c r="G39" s="38"/>
      <c r="H39" s="38"/>
      <c r="I39" s="38"/>
      <c r="J39" s="38"/>
      <c r="K39" s="38"/>
      <c r="L39" s="38"/>
    </row>
    <row r="40" spans="1:12" ht="36" customHeight="1" x14ac:dyDescent="0.3">
      <c r="A40" s="129" t="s">
        <v>712</v>
      </c>
      <c r="B40" s="23" t="s">
        <v>520</v>
      </c>
      <c r="C40" s="41" t="s">
        <v>713</v>
      </c>
      <c r="D40" s="129" t="s">
        <v>528</v>
      </c>
      <c r="E40" s="161" t="s">
        <v>714</v>
      </c>
      <c r="F40" s="236" t="s">
        <v>715</v>
      </c>
      <c r="G40" s="236"/>
      <c r="H40" s="236"/>
      <c r="I40" s="236"/>
      <c r="J40" s="236"/>
      <c r="K40" s="236"/>
      <c r="L40" s="236"/>
    </row>
    <row r="41" spans="1:12" ht="36" customHeight="1" x14ac:dyDescent="0.3">
      <c r="A41" s="132" t="s">
        <v>712</v>
      </c>
      <c r="B41" s="23" t="s">
        <v>520</v>
      </c>
      <c r="C41" s="46" t="s">
        <v>716</v>
      </c>
      <c r="D41" s="132" t="s">
        <v>478</v>
      </c>
      <c r="E41" s="160" t="s">
        <v>717</v>
      </c>
      <c r="F41" s="236" t="s">
        <v>718</v>
      </c>
      <c r="G41" s="236"/>
      <c r="H41" s="236"/>
      <c r="I41" s="236"/>
      <c r="J41" s="236"/>
      <c r="K41" s="236"/>
      <c r="L41" s="236"/>
    </row>
    <row r="42" spans="1:12" ht="36" customHeight="1" x14ac:dyDescent="0.3">
      <c r="A42" s="129" t="s">
        <v>712</v>
      </c>
      <c r="B42" s="23" t="s">
        <v>520</v>
      </c>
      <c r="C42" s="41" t="s">
        <v>719</v>
      </c>
      <c r="D42" s="129" t="s">
        <v>478</v>
      </c>
      <c r="E42" s="161" t="s">
        <v>720</v>
      </c>
      <c r="F42" s="236" t="s">
        <v>721</v>
      </c>
      <c r="G42" s="236"/>
      <c r="H42" s="236"/>
      <c r="I42" s="236"/>
      <c r="J42" s="236"/>
      <c r="K42" s="236"/>
      <c r="L42" s="236"/>
    </row>
    <row r="43" spans="1:12" ht="36" customHeight="1" x14ac:dyDescent="0.3">
      <c r="A43" s="132" t="s">
        <v>722</v>
      </c>
      <c r="B43" s="23" t="s">
        <v>520</v>
      </c>
      <c r="C43" s="46" t="s">
        <v>723</v>
      </c>
      <c r="D43" s="132" t="s">
        <v>528</v>
      </c>
      <c r="E43" s="160" t="s">
        <v>724</v>
      </c>
      <c r="F43" s="236" t="s">
        <v>725</v>
      </c>
      <c r="G43" s="236"/>
      <c r="H43" s="236"/>
      <c r="I43" s="236"/>
      <c r="J43" s="236"/>
      <c r="K43" s="236"/>
      <c r="L43" s="236"/>
    </row>
    <row r="44" spans="1:12" ht="36" customHeight="1" x14ac:dyDescent="0.3">
      <c r="A44" s="129" t="s">
        <v>722</v>
      </c>
      <c r="B44" s="23" t="s">
        <v>520</v>
      </c>
      <c r="C44" s="41" t="s">
        <v>726</v>
      </c>
      <c r="D44" s="129" t="s">
        <v>528</v>
      </c>
      <c r="E44" s="161" t="s">
        <v>727</v>
      </c>
      <c r="F44" s="236" t="s">
        <v>728</v>
      </c>
      <c r="G44" s="236"/>
      <c r="H44" s="236"/>
      <c r="I44" s="236"/>
      <c r="J44" s="236"/>
      <c r="K44" s="236"/>
      <c r="L44" s="236"/>
    </row>
    <row r="45" spans="1:12" ht="36" customHeight="1" x14ac:dyDescent="0.3">
      <c r="A45" s="132" t="s">
        <v>729</v>
      </c>
      <c r="B45" s="23" t="s">
        <v>520</v>
      </c>
      <c r="C45" s="46" t="s">
        <v>730</v>
      </c>
      <c r="D45" s="132" t="s">
        <v>528</v>
      </c>
      <c r="E45" s="160" t="s">
        <v>731</v>
      </c>
      <c r="F45" s="236" t="s">
        <v>732</v>
      </c>
      <c r="G45" s="236"/>
      <c r="H45" s="236"/>
      <c r="I45" s="236"/>
      <c r="J45" s="236"/>
      <c r="K45" s="236"/>
      <c r="L45" s="236"/>
    </row>
    <row r="46" spans="1:12" ht="36" customHeight="1" x14ac:dyDescent="0.3">
      <c r="A46" s="129" t="s">
        <v>729</v>
      </c>
      <c r="B46" s="163" t="s">
        <v>690</v>
      </c>
      <c r="C46" s="41" t="s">
        <v>733</v>
      </c>
      <c r="D46" s="129" t="s">
        <v>528</v>
      </c>
      <c r="E46" s="161" t="s">
        <v>734</v>
      </c>
      <c r="F46" s="236" t="s">
        <v>735</v>
      </c>
      <c r="G46" s="236"/>
      <c r="H46" s="236"/>
      <c r="I46" s="236"/>
      <c r="J46" s="236"/>
      <c r="K46" s="236"/>
      <c r="L46" s="236"/>
    </row>
    <row r="47" spans="1:12" ht="36" customHeight="1" x14ac:dyDescent="0.3">
      <c r="A47" s="132" t="s">
        <v>736</v>
      </c>
      <c r="B47" s="162" t="s">
        <v>697</v>
      </c>
      <c r="C47" s="46" t="s">
        <v>737</v>
      </c>
      <c r="D47" s="132" t="s">
        <v>513</v>
      </c>
      <c r="E47" s="160" t="s">
        <v>738</v>
      </c>
      <c r="F47" s="236" t="s">
        <v>739</v>
      </c>
      <c r="G47" s="236"/>
      <c r="H47" s="236"/>
      <c r="I47" s="236"/>
      <c r="J47" s="236"/>
      <c r="K47" s="236"/>
      <c r="L47" s="236"/>
    </row>
    <row r="50" spans="1:12" ht="18" customHeight="1" x14ac:dyDescent="0.3">
      <c r="A50" s="217" t="s">
        <v>740</v>
      </c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</row>
    <row r="51" spans="1:12" ht="24" customHeight="1" x14ac:dyDescent="0.3">
      <c r="A51" s="39" t="s">
        <v>637</v>
      </c>
      <c r="B51" s="39" t="s">
        <v>467</v>
      </c>
      <c r="C51" s="39" t="s">
        <v>638</v>
      </c>
      <c r="D51" s="39" t="s">
        <v>471</v>
      </c>
      <c r="E51" s="39" t="s">
        <v>639</v>
      </c>
      <c r="F51" s="39" t="s">
        <v>640</v>
      </c>
      <c r="G51" s="39"/>
      <c r="H51" s="39"/>
      <c r="I51" s="39"/>
      <c r="J51" s="39"/>
      <c r="K51" s="39"/>
      <c r="L51" s="39"/>
    </row>
    <row r="52" spans="1:12" ht="36" customHeight="1" x14ac:dyDescent="0.3">
      <c r="A52" s="129" t="s">
        <v>741</v>
      </c>
      <c r="B52" s="23" t="s">
        <v>520</v>
      </c>
      <c r="C52" s="41" t="s">
        <v>742</v>
      </c>
      <c r="D52" s="129" t="s">
        <v>478</v>
      </c>
      <c r="E52" s="161" t="s">
        <v>743</v>
      </c>
      <c r="F52" s="236" t="s">
        <v>744</v>
      </c>
      <c r="G52" s="236"/>
      <c r="H52" s="236"/>
      <c r="I52" s="236"/>
      <c r="J52" s="236"/>
      <c r="K52" s="236"/>
      <c r="L52" s="236"/>
    </row>
    <row r="53" spans="1:12" ht="36" customHeight="1" x14ac:dyDescent="0.3">
      <c r="A53" s="132" t="s">
        <v>741</v>
      </c>
      <c r="B53" s="23" t="s">
        <v>520</v>
      </c>
      <c r="C53" s="46" t="s">
        <v>745</v>
      </c>
      <c r="D53" s="132" t="s">
        <v>528</v>
      </c>
      <c r="E53" s="160" t="s">
        <v>746</v>
      </c>
      <c r="F53" s="236" t="s">
        <v>747</v>
      </c>
      <c r="G53" s="236"/>
      <c r="H53" s="236"/>
      <c r="I53" s="236"/>
      <c r="J53" s="236"/>
      <c r="K53" s="236"/>
      <c r="L53" s="236"/>
    </row>
    <row r="54" spans="1:12" ht="36" customHeight="1" x14ac:dyDescent="0.3">
      <c r="A54" s="129" t="s">
        <v>748</v>
      </c>
      <c r="B54" s="23" t="s">
        <v>520</v>
      </c>
      <c r="C54" s="41" t="s">
        <v>749</v>
      </c>
      <c r="D54" s="129" t="s">
        <v>528</v>
      </c>
      <c r="E54" s="161" t="s">
        <v>750</v>
      </c>
      <c r="F54" s="236" t="s">
        <v>751</v>
      </c>
      <c r="G54" s="236"/>
      <c r="H54" s="236"/>
      <c r="I54" s="236"/>
      <c r="J54" s="236"/>
      <c r="K54" s="236"/>
      <c r="L54" s="236"/>
    </row>
    <row r="55" spans="1:12" ht="36" customHeight="1" x14ac:dyDescent="0.3">
      <c r="A55" s="132" t="s">
        <v>748</v>
      </c>
      <c r="B55" s="23" t="s">
        <v>520</v>
      </c>
      <c r="C55" s="46" t="s">
        <v>752</v>
      </c>
      <c r="D55" s="132" t="s">
        <v>528</v>
      </c>
      <c r="E55" s="160" t="s">
        <v>753</v>
      </c>
      <c r="F55" s="236" t="s">
        <v>754</v>
      </c>
      <c r="G55" s="236"/>
      <c r="H55" s="236"/>
      <c r="I55" s="236"/>
      <c r="J55" s="236"/>
      <c r="K55" s="236"/>
      <c r="L55" s="236"/>
    </row>
    <row r="56" spans="1:12" ht="36" customHeight="1" x14ac:dyDescent="0.3">
      <c r="A56" s="129" t="s">
        <v>755</v>
      </c>
      <c r="B56" s="23" t="s">
        <v>520</v>
      </c>
      <c r="C56" s="41" t="s">
        <v>756</v>
      </c>
      <c r="D56" s="129" t="s">
        <v>528</v>
      </c>
      <c r="E56" s="161" t="s">
        <v>757</v>
      </c>
      <c r="F56" s="236" t="s">
        <v>758</v>
      </c>
      <c r="G56" s="236"/>
      <c r="H56" s="236"/>
      <c r="I56" s="236"/>
      <c r="J56" s="236"/>
      <c r="K56" s="236"/>
      <c r="L56" s="236"/>
    </row>
    <row r="57" spans="1:12" ht="36" customHeight="1" x14ac:dyDescent="0.3">
      <c r="A57" s="132" t="s">
        <v>759</v>
      </c>
      <c r="B57" s="163" t="s">
        <v>690</v>
      </c>
      <c r="C57" s="46" t="s">
        <v>760</v>
      </c>
      <c r="D57" s="132" t="s">
        <v>761</v>
      </c>
      <c r="E57" s="160" t="s">
        <v>762</v>
      </c>
      <c r="F57" s="236" t="s">
        <v>763</v>
      </c>
      <c r="G57" s="236"/>
      <c r="H57" s="236"/>
      <c r="I57" s="236"/>
      <c r="J57" s="236"/>
      <c r="K57" s="236"/>
      <c r="L57" s="236"/>
    </row>
    <row r="58" spans="1:12" ht="36" customHeight="1" x14ac:dyDescent="0.3">
      <c r="A58" s="129" t="s">
        <v>759</v>
      </c>
      <c r="B58" s="162" t="s">
        <v>697</v>
      </c>
      <c r="C58" s="41" t="s">
        <v>764</v>
      </c>
      <c r="D58" s="129" t="s">
        <v>765</v>
      </c>
      <c r="E58" s="161" t="s">
        <v>766</v>
      </c>
      <c r="F58" s="236" t="s">
        <v>767</v>
      </c>
      <c r="G58" s="236"/>
      <c r="H58" s="236"/>
      <c r="I58" s="236"/>
      <c r="J58" s="236"/>
      <c r="K58" s="236"/>
      <c r="L58" s="236"/>
    </row>
    <row r="61" spans="1:12" ht="18" customHeight="1" x14ac:dyDescent="0.3">
      <c r="A61" s="6" t="s">
        <v>768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ht="24" customHeight="1" x14ac:dyDescent="0.3">
      <c r="A62" s="34" t="s">
        <v>637</v>
      </c>
      <c r="B62" s="34" t="s">
        <v>467</v>
      </c>
      <c r="C62" s="34" t="s">
        <v>638</v>
      </c>
      <c r="D62" s="34" t="s">
        <v>471</v>
      </c>
      <c r="E62" s="34" t="s">
        <v>639</v>
      </c>
      <c r="F62" s="34" t="s">
        <v>640</v>
      </c>
      <c r="G62" s="34"/>
      <c r="H62" s="34"/>
      <c r="I62" s="34"/>
      <c r="J62" s="34"/>
      <c r="K62" s="34"/>
      <c r="L62" s="34"/>
    </row>
    <row r="63" spans="1:12" ht="36" customHeight="1" x14ac:dyDescent="0.3">
      <c r="A63" s="132" t="s">
        <v>769</v>
      </c>
      <c r="B63" s="23" t="s">
        <v>520</v>
      </c>
      <c r="C63" s="46" t="s">
        <v>770</v>
      </c>
      <c r="D63" s="132" t="s">
        <v>478</v>
      </c>
      <c r="E63" s="160" t="s">
        <v>771</v>
      </c>
      <c r="F63" s="236" t="s">
        <v>772</v>
      </c>
      <c r="G63" s="236"/>
      <c r="H63" s="236"/>
      <c r="I63" s="236"/>
      <c r="J63" s="236"/>
      <c r="K63" s="236"/>
      <c r="L63" s="236"/>
    </row>
    <row r="64" spans="1:12" ht="36" customHeight="1" x14ac:dyDescent="0.3">
      <c r="A64" s="129" t="s">
        <v>769</v>
      </c>
      <c r="B64" s="23" t="s">
        <v>520</v>
      </c>
      <c r="C64" s="41" t="s">
        <v>773</v>
      </c>
      <c r="D64" s="129" t="s">
        <v>528</v>
      </c>
      <c r="E64" s="161" t="s">
        <v>774</v>
      </c>
      <c r="F64" s="236" t="s">
        <v>775</v>
      </c>
      <c r="G64" s="236"/>
      <c r="H64" s="236"/>
      <c r="I64" s="236"/>
      <c r="J64" s="236"/>
      <c r="K64" s="236"/>
      <c r="L64" s="236"/>
    </row>
    <row r="65" spans="1:12" ht="36" customHeight="1" x14ac:dyDescent="0.3">
      <c r="A65" s="132" t="s">
        <v>776</v>
      </c>
      <c r="B65" s="23" t="s">
        <v>520</v>
      </c>
      <c r="C65" s="46" t="s">
        <v>777</v>
      </c>
      <c r="D65" s="132" t="s">
        <v>528</v>
      </c>
      <c r="E65" s="160" t="s">
        <v>778</v>
      </c>
      <c r="F65" s="236" t="s">
        <v>779</v>
      </c>
      <c r="G65" s="236"/>
      <c r="H65" s="236"/>
      <c r="I65" s="236"/>
      <c r="J65" s="236"/>
      <c r="K65" s="236"/>
      <c r="L65" s="236"/>
    </row>
    <row r="66" spans="1:12" ht="36" customHeight="1" x14ac:dyDescent="0.3">
      <c r="A66" s="129" t="s">
        <v>776</v>
      </c>
      <c r="B66" s="23" t="s">
        <v>520</v>
      </c>
      <c r="C66" s="41" t="s">
        <v>780</v>
      </c>
      <c r="D66" s="129" t="s">
        <v>528</v>
      </c>
      <c r="E66" s="161" t="s">
        <v>781</v>
      </c>
      <c r="F66" s="236" t="s">
        <v>782</v>
      </c>
      <c r="G66" s="236"/>
      <c r="H66" s="236"/>
      <c r="I66" s="236"/>
      <c r="J66" s="236"/>
      <c r="K66" s="236"/>
      <c r="L66" s="236"/>
    </row>
    <row r="67" spans="1:12" ht="36" customHeight="1" x14ac:dyDescent="0.3">
      <c r="A67" s="132" t="s">
        <v>783</v>
      </c>
      <c r="B67" s="23" t="s">
        <v>520</v>
      </c>
      <c r="C67" s="46" t="s">
        <v>784</v>
      </c>
      <c r="D67" s="132" t="s">
        <v>528</v>
      </c>
      <c r="E67" s="160" t="s">
        <v>785</v>
      </c>
      <c r="F67" s="236" t="s">
        <v>786</v>
      </c>
      <c r="G67" s="236"/>
      <c r="H67" s="236"/>
      <c r="I67" s="236"/>
      <c r="J67" s="236"/>
      <c r="K67" s="236"/>
      <c r="L67" s="236"/>
    </row>
    <row r="68" spans="1:12" ht="36" customHeight="1" x14ac:dyDescent="0.3">
      <c r="A68" s="129" t="s">
        <v>783</v>
      </c>
      <c r="B68" s="23" t="s">
        <v>520</v>
      </c>
      <c r="C68" s="41" t="s">
        <v>787</v>
      </c>
      <c r="D68" s="129" t="s">
        <v>528</v>
      </c>
      <c r="E68" s="161" t="s">
        <v>788</v>
      </c>
      <c r="F68" s="236" t="s">
        <v>789</v>
      </c>
      <c r="G68" s="236"/>
      <c r="H68" s="236"/>
      <c r="I68" s="236"/>
      <c r="J68" s="236"/>
      <c r="K68" s="236"/>
      <c r="L68" s="236"/>
    </row>
    <row r="69" spans="1:12" ht="36" customHeight="1" x14ac:dyDescent="0.3">
      <c r="A69" s="132" t="s">
        <v>790</v>
      </c>
      <c r="B69" s="163" t="s">
        <v>690</v>
      </c>
      <c r="C69" s="46" t="s">
        <v>791</v>
      </c>
      <c r="D69" s="132" t="s">
        <v>792</v>
      </c>
      <c r="E69" s="160" t="s">
        <v>793</v>
      </c>
      <c r="F69" s="236" t="s">
        <v>794</v>
      </c>
      <c r="G69" s="236"/>
      <c r="H69" s="236"/>
      <c r="I69" s="236"/>
      <c r="J69" s="236"/>
      <c r="K69" s="236"/>
      <c r="L69" s="236"/>
    </row>
    <row r="70" spans="1:12" ht="36" customHeight="1" x14ac:dyDescent="0.3">
      <c r="A70" s="129" t="s">
        <v>790</v>
      </c>
      <c r="B70" s="162" t="s">
        <v>697</v>
      </c>
      <c r="C70" s="41" t="s">
        <v>795</v>
      </c>
      <c r="D70" s="129" t="s">
        <v>513</v>
      </c>
      <c r="E70" s="161" t="s">
        <v>796</v>
      </c>
      <c r="F70" s="236" t="s">
        <v>797</v>
      </c>
      <c r="G70" s="236"/>
      <c r="H70" s="236"/>
      <c r="I70" s="236"/>
      <c r="J70" s="236"/>
      <c r="K70" s="236"/>
      <c r="L70" s="236"/>
    </row>
    <row r="73" spans="1:12" ht="18" customHeight="1" x14ac:dyDescent="0.3">
      <c r="A73" s="225" t="s">
        <v>798</v>
      </c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</row>
    <row r="74" spans="1:12" ht="24" customHeight="1" x14ac:dyDescent="0.3">
      <c r="A74" s="38" t="s">
        <v>637</v>
      </c>
      <c r="B74" s="38" t="s">
        <v>467</v>
      </c>
      <c r="C74" s="38" t="s">
        <v>638</v>
      </c>
      <c r="D74" s="38" t="s">
        <v>471</v>
      </c>
      <c r="E74" s="38" t="s">
        <v>639</v>
      </c>
      <c r="F74" s="38" t="s">
        <v>640</v>
      </c>
      <c r="G74" s="38"/>
      <c r="H74" s="38"/>
      <c r="I74" s="38"/>
      <c r="J74" s="38"/>
      <c r="K74" s="38"/>
      <c r="L74" s="38"/>
    </row>
    <row r="75" spans="1:12" ht="36" customHeight="1" x14ac:dyDescent="0.3">
      <c r="A75" s="132" t="s">
        <v>799</v>
      </c>
      <c r="B75" s="162" t="s">
        <v>697</v>
      </c>
      <c r="C75" s="46" t="s">
        <v>800</v>
      </c>
      <c r="D75" s="132" t="s">
        <v>478</v>
      </c>
      <c r="E75" s="160" t="s">
        <v>801</v>
      </c>
      <c r="F75" s="236" t="s">
        <v>802</v>
      </c>
      <c r="G75" s="236"/>
      <c r="H75" s="236"/>
      <c r="I75" s="236"/>
      <c r="J75" s="236"/>
      <c r="K75" s="236"/>
      <c r="L75" s="236"/>
    </row>
    <row r="76" spans="1:12" ht="36" customHeight="1" x14ac:dyDescent="0.3">
      <c r="A76" s="129" t="s">
        <v>799</v>
      </c>
      <c r="B76" s="162" t="s">
        <v>697</v>
      </c>
      <c r="C76" s="41" t="s">
        <v>803</v>
      </c>
      <c r="D76" s="129" t="s">
        <v>528</v>
      </c>
      <c r="E76" s="161" t="s">
        <v>804</v>
      </c>
      <c r="F76" s="236" t="s">
        <v>805</v>
      </c>
      <c r="G76" s="236"/>
      <c r="H76" s="236"/>
      <c r="I76" s="236"/>
      <c r="J76" s="236"/>
      <c r="K76" s="236"/>
      <c r="L76" s="236"/>
    </row>
    <row r="77" spans="1:12" ht="36" customHeight="1" x14ac:dyDescent="0.3">
      <c r="A77" s="132" t="s">
        <v>799</v>
      </c>
      <c r="B77" s="29" t="s">
        <v>542</v>
      </c>
      <c r="C77" s="46" t="s">
        <v>806</v>
      </c>
      <c r="D77" s="132" t="s">
        <v>807</v>
      </c>
      <c r="E77" s="160" t="s">
        <v>808</v>
      </c>
      <c r="F77" s="236" t="s">
        <v>809</v>
      </c>
      <c r="G77" s="236"/>
      <c r="H77" s="236"/>
      <c r="I77" s="236"/>
      <c r="J77" s="236"/>
      <c r="K77" s="236"/>
      <c r="L77" s="236"/>
    </row>
    <row r="78" spans="1:12" ht="36" customHeight="1" x14ac:dyDescent="0.3">
      <c r="A78" s="129" t="s">
        <v>810</v>
      </c>
      <c r="B78" s="29" t="s">
        <v>542</v>
      </c>
      <c r="C78" s="41" t="s">
        <v>811</v>
      </c>
      <c r="D78" s="129" t="s">
        <v>812</v>
      </c>
      <c r="E78" s="161" t="s">
        <v>813</v>
      </c>
      <c r="F78" s="236" t="s">
        <v>814</v>
      </c>
      <c r="G78" s="236"/>
      <c r="H78" s="236"/>
      <c r="I78" s="236"/>
      <c r="J78" s="236"/>
      <c r="K78" s="236"/>
      <c r="L78" s="236"/>
    </row>
    <row r="79" spans="1:12" ht="36" customHeight="1" x14ac:dyDescent="0.3">
      <c r="A79" s="132" t="s">
        <v>810</v>
      </c>
      <c r="B79" s="162" t="s">
        <v>815</v>
      </c>
      <c r="C79" s="46" t="s">
        <v>816</v>
      </c>
      <c r="D79" s="132" t="s">
        <v>478</v>
      </c>
      <c r="E79" s="160" t="s">
        <v>817</v>
      </c>
      <c r="F79" s="236" t="s">
        <v>818</v>
      </c>
      <c r="G79" s="236"/>
      <c r="H79" s="236"/>
      <c r="I79" s="236"/>
      <c r="J79" s="236"/>
      <c r="K79" s="236"/>
      <c r="L79" s="236"/>
    </row>
    <row r="80" spans="1:12" ht="36" customHeight="1" x14ac:dyDescent="0.3">
      <c r="A80" s="129" t="s">
        <v>810</v>
      </c>
      <c r="B80" s="162" t="s">
        <v>815</v>
      </c>
      <c r="C80" s="41" t="s">
        <v>819</v>
      </c>
      <c r="D80" s="129" t="s">
        <v>483</v>
      </c>
      <c r="E80" s="161" t="s">
        <v>820</v>
      </c>
      <c r="F80" s="236" t="s">
        <v>821</v>
      </c>
      <c r="G80" s="236"/>
      <c r="H80" s="236"/>
      <c r="I80" s="236"/>
      <c r="J80" s="236"/>
      <c r="K80" s="236"/>
      <c r="L80" s="236"/>
    </row>
    <row r="81" spans="1:12" ht="36" customHeight="1" x14ac:dyDescent="0.3">
      <c r="A81" s="132" t="s">
        <v>822</v>
      </c>
      <c r="B81" s="162" t="s">
        <v>659</v>
      </c>
      <c r="C81" s="46" t="s">
        <v>823</v>
      </c>
      <c r="D81" s="132" t="s">
        <v>483</v>
      </c>
      <c r="E81" s="160" t="s">
        <v>824</v>
      </c>
      <c r="F81" s="236" t="s">
        <v>825</v>
      </c>
      <c r="G81" s="236"/>
      <c r="H81" s="236"/>
      <c r="I81" s="236"/>
      <c r="J81" s="236"/>
      <c r="K81" s="236"/>
      <c r="L81" s="236"/>
    </row>
    <row r="82" spans="1:12" ht="36" customHeight="1" x14ac:dyDescent="0.3">
      <c r="A82" s="129" t="s">
        <v>826</v>
      </c>
      <c r="B82" s="162" t="s">
        <v>827</v>
      </c>
      <c r="C82" s="41" t="s">
        <v>828</v>
      </c>
      <c r="D82" s="129" t="s">
        <v>494</v>
      </c>
      <c r="E82" s="161" t="s">
        <v>829</v>
      </c>
      <c r="F82" s="236" t="s">
        <v>830</v>
      </c>
      <c r="G82" s="236"/>
      <c r="H82" s="236"/>
      <c r="I82" s="236"/>
      <c r="J82" s="236"/>
      <c r="K82" s="236"/>
      <c r="L82" s="236"/>
    </row>
  </sheetData>
  <mergeCells count="57">
    <mergeCell ref="F81:L81"/>
    <mergeCell ref="F82:L82"/>
    <mergeCell ref="F76:L76"/>
    <mergeCell ref="F77:L77"/>
    <mergeCell ref="F78:L78"/>
    <mergeCell ref="F79:L79"/>
    <mergeCell ref="F80:L80"/>
    <mergeCell ref="F68:L68"/>
    <mergeCell ref="F69:L69"/>
    <mergeCell ref="F70:L70"/>
    <mergeCell ref="A73:L73"/>
    <mergeCell ref="F75:L75"/>
    <mergeCell ref="F63:L63"/>
    <mergeCell ref="F64:L64"/>
    <mergeCell ref="F65:L65"/>
    <mergeCell ref="F66:L66"/>
    <mergeCell ref="F67:L67"/>
    <mergeCell ref="F55:L55"/>
    <mergeCell ref="F56:L56"/>
    <mergeCell ref="F57:L57"/>
    <mergeCell ref="F58:L58"/>
    <mergeCell ref="A61:L61"/>
    <mergeCell ref="F47:L47"/>
    <mergeCell ref="A50:L50"/>
    <mergeCell ref="F52:L52"/>
    <mergeCell ref="F53:L53"/>
    <mergeCell ref="F54:L54"/>
    <mergeCell ref="F42:L42"/>
    <mergeCell ref="F43:L43"/>
    <mergeCell ref="F44:L44"/>
    <mergeCell ref="F45:L45"/>
    <mergeCell ref="F46:L46"/>
    <mergeCell ref="F34:L34"/>
    <mergeCell ref="F35:L35"/>
    <mergeCell ref="A38:L38"/>
    <mergeCell ref="F40:L40"/>
    <mergeCell ref="F41:L41"/>
    <mergeCell ref="F29:L29"/>
    <mergeCell ref="F30:L30"/>
    <mergeCell ref="F31:L31"/>
    <mergeCell ref="F32:L32"/>
    <mergeCell ref="F33:L33"/>
    <mergeCell ref="F21:L21"/>
    <mergeCell ref="F22:L22"/>
    <mergeCell ref="F23:L23"/>
    <mergeCell ref="F24:L24"/>
    <mergeCell ref="A27:L27"/>
    <mergeCell ref="F16:L16"/>
    <mergeCell ref="F17:L17"/>
    <mergeCell ref="F18:L18"/>
    <mergeCell ref="F19:L19"/>
    <mergeCell ref="F20:L20"/>
    <mergeCell ref="A1:L1"/>
    <mergeCell ref="A2:L2"/>
    <mergeCell ref="A4:L4"/>
    <mergeCell ref="A13:L13"/>
    <mergeCell ref="F15:L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5"/>
  <sheetViews>
    <sheetView showGridLines="0" tabSelected="1" topLeftCell="A15" zoomScaleNormal="100" workbookViewId="0">
      <selection activeCell="H17" sqref="H17"/>
    </sheetView>
  </sheetViews>
  <sheetFormatPr defaultColWidth="8.6640625" defaultRowHeight="14.4" x14ac:dyDescent="0.3"/>
  <cols>
    <col min="1" max="1" width="25.77734375" customWidth="1"/>
    <col min="2" max="2" width="16" customWidth="1"/>
    <col min="3" max="6" width="22" customWidth="1"/>
    <col min="7" max="7" width="52" customWidth="1"/>
    <col min="8" max="8" width="22" customWidth="1"/>
    <col min="9" max="12" width="1" customWidth="1"/>
  </cols>
  <sheetData>
    <row r="1" spans="1:12" ht="27.75" customHeight="1" x14ac:dyDescent="0.3">
      <c r="A1" s="14" t="s">
        <v>831</v>
      </c>
      <c r="B1" s="14"/>
      <c r="C1" s="14"/>
      <c r="D1" s="14"/>
      <c r="E1" s="14"/>
      <c r="F1" s="14"/>
      <c r="G1" s="14"/>
      <c r="H1" s="14"/>
      <c r="I1" s="61"/>
      <c r="J1" s="61"/>
      <c r="K1" s="61"/>
      <c r="L1" s="61"/>
    </row>
    <row r="2" spans="1:12" ht="12.75" customHeight="1" x14ac:dyDescent="0.3">
      <c r="A2" s="237" t="s">
        <v>832</v>
      </c>
      <c r="B2" s="237"/>
      <c r="C2" s="237"/>
      <c r="D2" s="237"/>
      <c r="E2" s="237"/>
      <c r="F2" s="237"/>
      <c r="G2" s="237"/>
      <c r="H2" s="237"/>
      <c r="I2" s="61"/>
      <c r="J2" s="61"/>
      <c r="K2" s="61"/>
      <c r="L2" s="61"/>
    </row>
    <row r="3" spans="1:12" ht="15" customHeight="1" x14ac:dyDescent="0.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8" customHeight="1" x14ac:dyDescent="0.3">
      <c r="A4" s="12" t="s">
        <v>833</v>
      </c>
      <c r="B4" s="12"/>
      <c r="C4" s="12"/>
      <c r="D4" s="12"/>
      <c r="E4" s="12"/>
      <c r="F4" s="12"/>
      <c r="G4" s="12"/>
      <c r="H4" s="12"/>
      <c r="I4" s="61"/>
      <c r="J4" s="61"/>
      <c r="K4" s="61"/>
      <c r="L4" s="61"/>
    </row>
    <row r="5" spans="1:12" ht="18" customHeight="1" x14ac:dyDescent="0.3">
      <c r="A5" s="16" t="s">
        <v>834</v>
      </c>
      <c r="B5" s="81">
        <f>Assumptions!C65</f>
        <v>35523.120000000003</v>
      </c>
      <c r="C5" s="238"/>
      <c r="D5" s="238"/>
      <c r="E5" s="238"/>
      <c r="F5" s="238"/>
      <c r="G5" s="238"/>
      <c r="H5" s="238"/>
      <c r="I5" s="79"/>
      <c r="J5" s="79"/>
      <c r="K5" s="79"/>
      <c r="L5" s="79"/>
    </row>
    <row r="6" spans="1:12" ht="18" customHeight="1" x14ac:dyDescent="0.3">
      <c r="A6" s="16" t="s">
        <v>835</v>
      </c>
      <c r="B6" s="86">
        <f>'Cost Comparison'!B37</f>
        <v>6196.0457703526999</v>
      </c>
      <c r="C6" s="239"/>
      <c r="D6" s="239"/>
      <c r="E6" s="239"/>
      <c r="F6" s="239"/>
      <c r="G6" s="239"/>
      <c r="H6" s="239"/>
      <c r="I6" s="61"/>
      <c r="J6" s="61"/>
      <c r="K6" s="61"/>
      <c r="L6" s="61"/>
    </row>
    <row r="7" spans="1:12" ht="18" customHeight="1" x14ac:dyDescent="0.3">
      <c r="A7" s="16" t="s">
        <v>836</v>
      </c>
      <c r="B7" s="81">
        <f>'Migration Plan &amp; Costs'!C60</f>
        <v>121370.23417263363</v>
      </c>
      <c r="C7" s="240"/>
      <c r="D7" s="240"/>
      <c r="E7" s="240"/>
      <c r="F7" s="240"/>
      <c r="G7" s="240"/>
      <c r="H7" s="240"/>
      <c r="I7" s="61"/>
      <c r="J7" s="61"/>
      <c r="K7" s="61"/>
      <c r="L7" s="61"/>
    </row>
    <row r="8" spans="1:12" ht="18" customHeight="1" x14ac:dyDescent="0.3">
      <c r="A8" s="16" t="s">
        <v>837</v>
      </c>
      <c r="B8" s="64">
        <f>Assumptions!C64</f>
        <v>0.05</v>
      </c>
      <c r="C8" s="241"/>
      <c r="D8" s="241"/>
      <c r="E8" s="241"/>
      <c r="F8" s="241"/>
      <c r="G8" s="241"/>
      <c r="H8" s="241"/>
      <c r="I8" s="61"/>
      <c r="J8" s="61"/>
      <c r="K8" s="61"/>
      <c r="L8" s="61"/>
    </row>
    <row r="9" spans="1:12" ht="18" customHeight="1" x14ac:dyDescent="0.3">
      <c r="A9" s="16" t="s">
        <v>838</v>
      </c>
      <c r="B9" s="81">
        <f>B5-B6</f>
        <v>29327.074229647304</v>
      </c>
      <c r="C9" s="242"/>
      <c r="D9" s="242"/>
      <c r="E9" s="242"/>
      <c r="F9" s="242"/>
      <c r="G9" s="242"/>
      <c r="H9" s="242"/>
      <c r="I9" s="61"/>
      <c r="J9" s="61"/>
      <c r="K9" s="61"/>
      <c r="L9" s="61"/>
    </row>
    <row r="10" spans="1:12" ht="18" customHeight="1" x14ac:dyDescent="0.3">
      <c r="A10" s="16" t="s">
        <v>839</v>
      </c>
      <c r="B10" s="85">
        <v>6</v>
      </c>
      <c r="C10" s="241"/>
      <c r="D10" s="241"/>
      <c r="E10" s="241"/>
      <c r="F10" s="241"/>
      <c r="G10" s="241"/>
      <c r="H10" s="241"/>
      <c r="I10" s="61"/>
      <c r="J10" s="61"/>
      <c r="K10" s="61"/>
      <c r="L10" s="61"/>
    </row>
    <row r="11" spans="1:12" ht="34.799999999999997" customHeight="1" x14ac:dyDescent="0.3">
      <c r="A11" s="16" t="s">
        <v>840</v>
      </c>
      <c r="B11" s="86">
        <f>SUM(D17:D22)</f>
        <v>25007.64</v>
      </c>
      <c r="C11" s="214" t="s">
        <v>841</v>
      </c>
      <c r="D11" s="214"/>
      <c r="E11" s="214"/>
      <c r="F11" s="214"/>
      <c r="G11" s="214"/>
      <c r="H11" s="214"/>
    </row>
    <row r="12" spans="1:12" ht="18" customHeight="1" x14ac:dyDescent="0.3">
      <c r="A12" s="165" t="s">
        <v>842</v>
      </c>
      <c r="B12" s="126">
        <f>(B7+B11)/B9</f>
        <v>4.991219820511704</v>
      </c>
      <c r="C12" s="243" t="str">
        <f>TEXT((B7+B11)/B9,"0.0")&amp;" months from Jan 2027  |  Formula: (migration cost + Phase 1 AWS overlap) ÷ monthly saving  |  ~May 2027"</f>
        <v>5.0 months from Jan 2027  |  Formula: (migration cost + Phase 1 AWS overlap) ÷ monthly saving  |  ~May 2027</v>
      </c>
      <c r="D12" s="243"/>
      <c r="E12" s="243"/>
      <c r="F12" s="243"/>
      <c r="G12" s="243"/>
      <c r="H12" s="243"/>
    </row>
    <row r="13" spans="1:12" ht="15.75" customHeight="1" x14ac:dyDescent="0.3">
      <c r="A13" s="238"/>
      <c r="B13" s="238"/>
      <c r="C13" s="238"/>
      <c r="D13" s="238"/>
      <c r="E13" s="238"/>
      <c r="F13" s="238"/>
      <c r="G13" s="238"/>
      <c r="H13" s="238"/>
      <c r="I13" s="61"/>
      <c r="J13" s="61"/>
      <c r="K13" s="61"/>
      <c r="L13" s="61"/>
    </row>
    <row r="14" spans="1:12" ht="98.4" customHeight="1" x14ac:dyDescent="0.3">
      <c r="A14" s="166" t="s">
        <v>843</v>
      </c>
      <c r="B14" s="167"/>
      <c r="C14" s="167"/>
      <c r="D14" s="167"/>
      <c r="E14" s="167"/>
      <c r="F14" s="167"/>
      <c r="G14" s="167"/>
      <c r="H14" s="168"/>
      <c r="I14" s="61"/>
      <c r="J14" s="61"/>
      <c r="K14" s="61"/>
      <c r="L14" s="61"/>
    </row>
    <row r="15" spans="1:12" ht="69.599999999999994" customHeight="1" x14ac:dyDescent="0.3">
      <c r="A15" s="169" t="s">
        <v>844</v>
      </c>
      <c r="B15" s="167"/>
      <c r="C15" s="167"/>
      <c r="D15" s="167"/>
      <c r="E15" s="167"/>
      <c r="F15" s="167"/>
      <c r="G15" s="167"/>
      <c r="H15" s="168"/>
      <c r="I15" s="79"/>
      <c r="J15" s="79"/>
      <c r="K15" s="79"/>
      <c r="L15" s="79"/>
    </row>
    <row r="16" spans="1:12" ht="71.400000000000006" customHeight="1" x14ac:dyDescent="0.3">
      <c r="A16" s="170" t="s">
        <v>466</v>
      </c>
      <c r="B16" s="37" t="s">
        <v>845</v>
      </c>
      <c r="C16" s="171" t="s">
        <v>846</v>
      </c>
      <c r="D16" s="171" t="s">
        <v>847</v>
      </c>
      <c r="E16" s="171" t="s">
        <v>848</v>
      </c>
      <c r="F16" s="171" t="s">
        <v>849</v>
      </c>
      <c r="G16" s="171" t="s">
        <v>850</v>
      </c>
      <c r="H16" s="171" t="s">
        <v>851</v>
      </c>
      <c r="I16" s="84"/>
      <c r="J16" s="79"/>
      <c r="K16" s="84"/>
      <c r="L16" s="84"/>
    </row>
    <row r="17" spans="1:12" ht="51.75" customHeight="1" x14ac:dyDescent="0.3">
      <c r="A17" s="172">
        <v>1</v>
      </c>
      <c r="B17" s="21" t="s">
        <v>852</v>
      </c>
      <c r="C17" s="74">
        <v>35523.120000000003</v>
      </c>
      <c r="D17" s="173">
        <v>1429.61</v>
      </c>
      <c r="E17" s="174">
        <f t="shared" ref="E17:E22" si="0">C17+D17+F17</f>
        <v>61006.78</v>
      </c>
      <c r="F17" s="175">
        <v>24054.05</v>
      </c>
      <c r="G17" s="176" t="s">
        <v>853</v>
      </c>
      <c r="H17" s="177">
        <f>-SUM(C17:C17)-SUM(F17:F17)</f>
        <v>-59577.17</v>
      </c>
      <c r="I17" s="84"/>
      <c r="J17" s="79"/>
      <c r="K17" s="84"/>
      <c r="L17" s="84"/>
    </row>
    <row r="18" spans="1:12" ht="51.75" customHeight="1" x14ac:dyDescent="0.3">
      <c r="A18" s="178">
        <v>2</v>
      </c>
      <c r="B18" s="19" t="s">
        <v>854</v>
      </c>
      <c r="C18" s="74">
        <v>35523.120000000003</v>
      </c>
      <c r="D18" s="173">
        <v>2440.8200000000002</v>
      </c>
      <c r="E18" s="174">
        <f t="shared" si="0"/>
        <v>55316.97</v>
      </c>
      <c r="F18" s="175">
        <v>17353.03</v>
      </c>
      <c r="G18" s="179" t="s">
        <v>855</v>
      </c>
      <c r="H18" s="177">
        <f>-SUM(C17:C18)-SUM(F17:F18)</f>
        <v>-112453.32</v>
      </c>
      <c r="I18" s="84"/>
      <c r="J18" s="79"/>
      <c r="K18" s="84"/>
      <c r="L18" s="84"/>
    </row>
    <row r="19" spans="1:12" ht="51.75" customHeight="1" x14ac:dyDescent="0.3">
      <c r="A19" s="172">
        <v>3</v>
      </c>
      <c r="B19" s="21" t="s">
        <v>856</v>
      </c>
      <c r="C19" s="74">
        <v>35523.120000000003</v>
      </c>
      <c r="D19" s="173">
        <v>3812.83</v>
      </c>
      <c r="E19" s="174">
        <f t="shared" si="0"/>
        <v>67891.010000000009</v>
      </c>
      <c r="F19" s="175">
        <v>28555.06</v>
      </c>
      <c r="G19" s="176" t="s">
        <v>857</v>
      </c>
      <c r="H19" s="177">
        <f>-SUM(C17:C19)-SUM(F17:F19)</f>
        <v>-176531.5</v>
      </c>
      <c r="I19" s="84"/>
      <c r="J19" s="79"/>
      <c r="K19" s="84"/>
      <c r="L19" s="84"/>
    </row>
    <row r="20" spans="1:12" ht="51.75" customHeight="1" x14ac:dyDescent="0.3">
      <c r="A20" s="178">
        <v>4</v>
      </c>
      <c r="B20" s="129" t="s">
        <v>858</v>
      </c>
      <c r="C20" s="180">
        <v>31565.7</v>
      </c>
      <c r="D20" s="82">
        <v>5004.4399999999996</v>
      </c>
      <c r="E20" s="174">
        <f t="shared" si="0"/>
        <v>59854.19</v>
      </c>
      <c r="F20" s="175">
        <v>23284.05</v>
      </c>
      <c r="G20" s="179" t="s">
        <v>859</v>
      </c>
      <c r="H20" s="177">
        <f>-SUM(C17:C20)-SUM(F17:F20)</f>
        <v>-231381.25000000003</v>
      </c>
      <c r="I20" s="84"/>
      <c r="J20" s="79"/>
      <c r="K20" s="84"/>
      <c r="L20" s="84"/>
    </row>
    <row r="21" spans="1:12" ht="25.5" customHeight="1" x14ac:dyDescent="0.3">
      <c r="A21" s="172">
        <v>5</v>
      </c>
      <c r="B21" s="132" t="s">
        <v>860</v>
      </c>
      <c r="C21" s="82">
        <v>11272.55</v>
      </c>
      <c r="D21" s="82">
        <v>6123.89</v>
      </c>
      <c r="E21" s="174">
        <f t="shared" si="0"/>
        <v>32378.87</v>
      </c>
      <c r="F21" s="175">
        <v>14982.43</v>
      </c>
      <c r="G21" s="176" t="s">
        <v>861</v>
      </c>
      <c r="H21" s="177">
        <f>-SUM(C17:C21)-SUM(F17:F21)</f>
        <v>-257636.23</v>
      </c>
      <c r="I21" s="84"/>
      <c r="J21" s="79"/>
      <c r="K21" s="84"/>
      <c r="L21" s="84"/>
    </row>
    <row r="22" spans="1:12" ht="51.75" customHeight="1" x14ac:dyDescent="0.3">
      <c r="A22" s="178">
        <v>6</v>
      </c>
      <c r="B22" s="129" t="s">
        <v>862</v>
      </c>
      <c r="C22" s="82">
        <v>1000</v>
      </c>
      <c r="D22" s="82">
        <v>6196.05</v>
      </c>
      <c r="E22" s="174">
        <f t="shared" si="0"/>
        <v>20337.670000000002</v>
      </c>
      <c r="F22" s="175">
        <v>13141.62</v>
      </c>
      <c r="G22" s="181" t="s">
        <v>863</v>
      </c>
      <c r="H22" s="182">
        <f>-SUM(C17:C22)-SUM(F17:F22)</f>
        <v>-271777.84999999998</v>
      </c>
      <c r="I22" s="84"/>
      <c r="J22" s="79"/>
      <c r="K22" s="84"/>
      <c r="L22" s="84"/>
    </row>
    <row r="23" spans="1:12" ht="52.8" customHeight="1" x14ac:dyDescent="0.3">
      <c r="A23" s="183" t="s">
        <v>864</v>
      </c>
      <c r="B23" s="110" t="s">
        <v>865</v>
      </c>
      <c r="C23" s="184">
        <f>SUM(C15:C20)</f>
        <v>138135.06000000003</v>
      </c>
      <c r="D23" s="184">
        <f>SUM(D15:D20)</f>
        <v>12687.7</v>
      </c>
      <c r="E23" s="184">
        <f>SUM(E17:E22)</f>
        <v>296785.49</v>
      </c>
      <c r="F23" s="184">
        <f>SUM(F15:F20)</f>
        <v>93246.19</v>
      </c>
      <c r="G23" s="185" t="s">
        <v>866</v>
      </c>
      <c r="H23" s="186">
        <f>H22</f>
        <v>-271777.84999999998</v>
      </c>
      <c r="I23" s="84"/>
      <c r="J23" s="79"/>
      <c r="K23" s="84"/>
      <c r="L23" s="84"/>
    </row>
    <row r="24" spans="1:12" ht="21.75" customHeight="1" x14ac:dyDescent="0.3">
      <c r="A24" s="244" t="s">
        <v>867</v>
      </c>
      <c r="B24" s="244"/>
      <c r="C24" s="244"/>
      <c r="D24" s="244"/>
      <c r="E24" s="244"/>
      <c r="F24" s="244"/>
      <c r="G24" s="244"/>
      <c r="H24" s="244"/>
      <c r="I24" s="84"/>
      <c r="J24" s="79"/>
      <c r="K24" s="84"/>
      <c r="L24" s="84"/>
    </row>
    <row r="25" spans="1:12" ht="15.75" customHeight="1" x14ac:dyDescent="0.3">
      <c r="A25" s="245"/>
      <c r="B25" s="245"/>
      <c r="C25" s="245"/>
      <c r="D25" s="245"/>
      <c r="E25" s="245"/>
      <c r="F25" s="245"/>
      <c r="G25" s="245"/>
      <c r="H25" s="245"/>
      <c r="I25" s="84"/>
      <c r="J25" s="79"/>
      <c r="K25" s="84"/>
      <c r="L25" s="84"/>
    </row>
    <row r="26" spans="1:12" ht="87" customHeight="1" x14ac:dyDescent="0.3">
      <c r="A26" s="187" t="s">
        <v>868</v>
      </c>
      <c r="B26" s="167"/>
      <c r="C26" s="167"/>
      <c r="D26" s="167"/>
      <c r="E26" s="167"/>
      <c r="F26" s="167"/>
      <c r="G26" s="167"/>
      <c r="H26" s="168"/>
      <c r="I26" s="84"/>
      <c r="J26" s="79"/>
      <c r="K26" s="84"/>
      <c r="L26" s="84"/>
    </row>
    <row r="27" spans="1:12" ht="58.2" customHeight="1" x14ac:dyDescent="0.3">
      <c r="A27" s="188" t="s">
        <v>869</v>
      </c>
      <c r="B27" s="167"/>
      <c r="C27" s="167"/>
      <c r="D27" s="167"/>
      <c r="E27" s="167"/>
      <c r="F27" s="167"/>
      <c r="G27" s="167"/>
      <c r="H27" s="168"/>
      <c r="I27" s="84"/>
      <c r="J27" s="79"/>
      <c r="K27" s="84"/>
      <c r="L27" s="84"/>
    </row>
    <row r="28" spans="1:12" ht="30.6" customHeight="1" x14ac:dyDescent="0.3">
      <c r="A28" s="189" t="s">
        <v>466</v>
      </c>
      <c r="B28" s="34" t="s">
        <v>845</v>
      </c>
      <c r="C28" s="190" t="s">
        <v>870</v>
      </c>
      <c r="D28" s="190" t="s">
        <v>871</v>
      </c>
      <c r="E28" s="190" t="s">
        <v>872</v>
      </c>
      <c r="F28" s="190" t="s">
        <v>873</v>
      </c>
      <c r="G28" s="190" t="s">
        <v>874</v>
      </c>
      <c r="H28" s="190" t="s">
        <v>875</v>
      </c>
      <c r="I28" s="84"/>
      <c r="J28" s="79"/>
      <c r="K28" s="84"/>
      <c r="L28" s="84"/>
    </row>
    <row r="29" spans="1:12" ht="15.75" customHeight="1" x14ac:dyDescent="0.3">
      <c r="A29" s="178">
        <v>8</v>
      </c>
      <c r="B29" s="19" t="s">
        <v>876</v>
      </c>
      <c r="C29" s="86">
        <v>0</v>
      </c>
      <c r="D29" s="44">
        <f t="shared" ref="D29:D40" si="1">$B$6</f>
        <v>6196.0457703526999</v>
      </c>
      <c r="E29" s="44">
        <f t="shared" ref="E29:E40" si="2">$B$5-$B$6</f>
        <v>29327.074229647304</v>
      </c>
      <c r="F29" s="44">
        <f>SUM($E$27:E27)</f>
        <v>0</v>
      </c>
      <c r="G29" s="86">
        <v>0</v>
      </c>
      <c r="H29" s="191">
        <f>H23+E29</f>
        <v>-242450.77577035269</v>
      </c>
      <c r="I29" s="84"/>
      <c r="J29" s="79"/>
      <c r="K29" s="84"/>
      <c r="L29" s="84"/>
    </row>
    <row r="30" spans="1:12" ht="15.75" customHeight="1" x14ac:dyDescent="0.3">
      <c r="A30" s="172">
        <v>9</v>
      </c>
      <c r="B30" s="21" t="s">
        <v>877</v>
      </c>
      <c r="C30" s="81">
        <v>0</v>
      </c>
      <c r="D30" s="44">
        <f t="shared" si="1"/>
        <v>6196.0457703526999</v>
      </c>
      <c r="E30" s="44">
        <f t="shared" si="2"/>
        <v>29327.074229647304</v>
      </c>
      <c r="F30" s="44">
        <f>SUM($E$27:E28)</f>
        <v>0</v>
      </c>
      <c r="G30" s="81">
        <v>0</v>
      </c>
      <c r="H30" s="191">
        <f t="shared" ref="H30:H75" si="3">H29+E30</f>
        <v>-213123.7015407054</v>
      </c>
      <c r="I30" s="84"/>
      <c r="J30" s="79"/>
      <c r="K30" s="84"/>
      <c r="L30" s="84"/>
    </row>
    <row r="31" spans="1:12" ht="15.75" customHeight="1" x14ac:dyDescent="0.3">
      <c r="A31" s="178">
        <v>10</v>
      </c>
      <c r="B31" s="19" t="s">
        <v>878</v>
      </c>
      <c r="C31" s="86">
        <v>0</v>
      </c>
      <c r="D31" s="44">
        <f t="shared" si="1"/>
        <v>6196.0457703526999</v>
      </c>
      <c r="E31" s="44">
        <f t="shared" si="2"/>
        <v>29327.074229647304</v>
      </c>
      <c r="F31" s="44">
        <f>SUM($E$27:E29)</f>
        <v>29327.074229647304</v>
      </c>
      <c r="G31" s="86">
        <v>0</v>
      </c>
      <c r="H31" s="191">
        <f t="shared" si="3"/>
        <v>-183796.62731105811</v>
      </c>
      <c r="I31" s="84"/>
      <c r="J31" s="79"/>
      <c r="K31" s="84"/>
      <c r="L31" s="84"/>
    </row>
    <row r="32" spans="1:12" ht="15.75" customHeight="1" x14ac:dyDescent="0.3">
      <c r="A32" s="172">
        <v>11</v>
      </c>
      <c r="B32" s="21" t="s">
        <v>879</v>
      </c>
      <c r="C32" s="81">
        <v>0</v>
      </c>
      <c r="D32" s="44">
        <f t="shared" si="1"/>
        <v>6196.0457703526999</v>
      </c>
      <c r="E32" s="44">
        <f t="shared" si="2"/>
        <v>29327.074229647304</v>
      </c>
      <c r="F32" s="44">
        <f>SUM($E$27:E30)</f>
        <v>58654.148459294607</v>
      </c>
      <c r="G32" s="81">
        <v>0</v>
      </c>
      <c r="H32" s="191">
        <f t="shared" si="3"/>
        <v>-154469.55308141082</v>
      </c>
      <c r="I32" s="84"/>
      <c r="J32" s="79"/>
      <c r="K32" s="84"/>
      <c r="L32" s="84"/>
    </row>
    <row r="33" spans="1:12" ht="15.75" customHeight="1" x14ac:dyDescent="0.3">
      <c r="A33" s="178">
        <v>12</v>
      </c>
      <c r="B33" s="19" t="s">
        <v>880</v>
      </c>
      <c r="C33" s="86">
        <v>0</v>
      </c>
      <c r="D33" s="44">
        <f t="shared" si="1"/>
        <v>6196.0457703526999</v>
      </c>
      <c r="E33" s="44">
        <f t="shared" si="2"/>
        <v>29327.074229647304</v>
      </c>
      <c r="F33" s="44">
        <f>SUM($E$27:E31)</f>
        <v>87981.222688941911</v>
      </c>
      <c r="G33" s="86">
        <v>0</v>
      </c>
      <c r="H33" s="191">
        <f t="shared" si="3"/>
        <v>-125142.47885176352</v>
      </c>
      <c r="I33" s="84"/>
      <c r="J33" s="79"/>
      <c r="K33" s="84"/>
      <c r="L33" s="84"/>
    </row>
    <row r="34" spans="1:12" ht="15.75" customHeight="1" x14ac:dyDescent="0.3">
      <c r="A34" s="172">
        <v>13</v>
      </c>
      <c r="B34" s="21" t="s">
        <v>881</v>
      </c>
      <c r="C34" s="81">
        <v>0</v>
      </c>
      <c r="D34" s="44">
        <f t="shared" si="1"/>
        <v>6196.0457703526999</v>
      </c>
      <c r="E34" s="44">
        <f t="shared" si="2"/>
        <v>29327.074229647304</v>
      </c>
      <c r="F34" s="44">
        <f>SUM($E$27:E32)</f>
        <v>117308.29691858921</v>
      </c>
      <c r="G34" s="81">
        <v>0</v>
      </c>
      <c r="H34" s="191">
        <f t="shared" si="3"/>
        <v>-95815.404622116213</v>
      </c>
      <c r="I34" s="84"/>
      <c r="J34" s="79"/>
      <c r="K34" s="84"/>
      <c r="L34" s="84"/>
    </row>
    <row r="35" spans="1:12" ht="15.75" customHeight="1" x14ac:dyDescent="0.3">
      <c r="A35" s="178">
        <v>14</v>
      </c>
      <c r="B35" s="19" t="s">
        <v>882</v>
      </c>
      <c r="C35" s="86">
        <v>0</v>
      </c>
      <c r="D35" s="44">
        <f t="shared" si="1"/>
        <v>6196.0457703526999</v>
      </c>
      <c r="E35" s="44">
        <f t="shared" si="2"/>
        <v>29327.074229647304</v>
      </c>
      <c r="F35" s="44">
        <f>SUM($E$27:E33)</f>
        <v>146635.3711482365</v>
      </c>
      <c r="G35" s="86">
        <v>0</v>
      </c>
      <c r="H35" s="191">
        <f t="shared" si="3"/>
        <v>-66488.33039246891</v>
      </c>
      <c r="I35" s="84"/>
      <c r="J35" s="79"/>
      <c r="K35" s="84"/>
      <c r="L35" s="84"/>
    </row>
    <row r="36" spans="1:12" ht="15.75" customHeight="1" x14ac:dyDescent="0.3">
      <c r="A36" s="172">
        <v>15</v>
      </c>
      <c r="B36" s="21" t="s">
        <v>883</v>
      </c>
      <c r="C36" s="81">
        <v>0</v>
      </c>
      <c r="D36" s="44">
        <f t="shared" si="1"/>
        <v>6196.0457703526999</v>
      </c>
      <c r="E36" s="44">
        <f t="shared" si="2"/>
        <v>29327.074229647304</v>
      </c>
      <c r="F36" s="44">
        <f>SUM($E$27:E34)</f>
        <v>175962.44537788379</v>
      </c>
      <c r="G36" s="81">
        <v>0</v>
      </c>
      <c r="H36" s="191">
        <f t="shared" si="3"/>
        <v>-37161.256162821606</v>
      </c>
      <c r="I36" s="84"/>
      <c r="J36" s="79"/>
      <c r="K36" s="84"/>
      <c r="L36" s="84"/>
    </row>
    <row r="37" spans="1:12" ht="15.75" customHeight="1" x14ac:dyDescent="0.3">
      <c r="A37" s="178">
        <v>16</v>
      </c>
      <c r="B37" s="19" t="s">
        <v>884</v>
      </c>
      <c r="C37" s="86">
        <v>0</v>
      </c>
      <c r="D37" s="44">
        <f t="shared" si="1"/>
        <v>6196.0457703526999</v>
      </c>
      <c r="E37" s="44">
        <f t="shared" si="2"/>
        <v>29327.074229647304</v>
      </c>
      <c r="F37" s="44">
        <f>SUM($E$27:E35)</f>
        <v>205289.51960753108</v>
      </c>
      <c r="G37" s="86">
        <v>0</v>
      </c>
      <c r="H37" s="191">
        <f t="shared" si="3"/>
        <v>-7834.1819331743027</v>
      </c>
      <c r="I37" s="84"/>
      <c r="J37" s="79"/>
      <c r="K37" s="84"/>
      <c r="L37" s="84"/>
    </row>
    <row r="38" spans="1:12" ht="15.75" customHeight="1" x14ac:dyDescent="0.3">
      <c r="A38" s="172">
        <v>17</v>
      </c>
      <c r="B38" s="21" t="s">
        <v>885</v>
      </c>
      <c r="C38" s="81">
        <v>0</v>
      </c>
      <c r="D38" s="44">
        <f t="shared" si="1"/>
        <v>6196.0457703526999</v>
      </c>
      <c r="E38" s="44">
        <f t="shared" si="2"/>
        <v>29327.074229647304</v>
      </c>
      <c r="F38" s="44">
        <f>SUM($E$27:E36)</f>
        <v>234616.59383717837</v>
      </c>
      <c r="G38" s="81">
        <v>0</v>
      </c>
      <c r="H38" s="191">
        <f t="shared" si="3"/>
        <v>21492.892296473001</v>
      </c>
      <c r="I38" s="84"/>
      <c r="J38" s="79"/>
      <c r="K38" s="84"/>
      <c r="L38" s="84"/>
    </row>
    <row r="39" spans="1:12" ht="15.75" customHeight="1" x14ac:dyDescent="0.3">
      <c r="A39" s="178">
        <v>18</v>
      </c>
      <c r="B39" s="19" t="s">
        <v>886</v>
      </c>
      <c r="C39" s="86">
        <v>0</v>
      </c>
      <c r="D39" s="44">
        <f t="shared" si="1"/>
        <v>6196.0457703526999</v>
      </c>
      <c r="E39" s="44">
        <f t="shared" si="2"/>
        <v>29327.074229647304</v>
      </c>
      <c r="F39" s="44">
        <f>SUM($E$27:E37)</f>
        <v>263943.66806682566</v>
      </c>
      <c r="G39" s="86">
        <v>0</v>
      </c>
      <c r="H39" s="191">
        <f t="shared" si="3"/>
        <v>50819.966526120304</v>
      </c>
      <c r="I39" s="84"/>
      <c r="J39" s="79"/>
      <c r="K39" s="84"/>
      <c r="L39" s="84"/>
    </row>
    <row r="40" spans="1:12" ht="15.75" customHeight="1" x14ac:dyDescent="0.3">
      <c r="A40" s="192">
        <v>19</v>
      </c>
      <c r="B40" s="133" t="s">
        <v>887</v>
      </c>
      <c r="C40" s="77">
        <v>0</v>
      </c>
      <c r="D40" s="44">
        <f t="shared" si="1"/>
        <v>6196.0457703526999</v>
      </c>
      <c r="E40" s="82">
        <f t="shared" si="2"/>
        <v>29327.074229647304</v>
      </c>
      <c r="F40" s="82">
        <f>SUM($E$27:E38)</f>
        <v>293270.74229647295</v>
      </c>
      <c r="G40" s="77">
        <v>0</v>
      </c>
      <c r="H40" s="82">
        <f t="shared" si="3"/>
        <v>80147.040755767608</v>
      </c>
      <c r="I40" s="84"/>
      <c r="J40" s="79"/>
      <c r="K40" s="84"/>
      <c r="L40" s="84"/>
    </row>
    <row r="41" spans="1:12" ht="15.75" customHeight="1" x14ac:dyDescent="0.3">
      <c r="A41" s="178">
        <v>20</v>
      </c>
      <c r="B41" s="19" t="s">
        <v>888</v>
      </c>
      <c r="C41" s="86">
        <v>0</v>
      </c>
      <c r="D41" s="44">
        <f t="shared" ref="D41:D52" si="4">$B$6*(1+$B$8)</f>
        <v>6505.8480588703351</v>
      </c>
      <c r="E41" s="44">
        <f t="shared" ref="E41:E52" si="5">$B$5-$B$6*(1+$B$8)</f>
        <v>29017.271941129668</v>
      </c>
      <c r="F41" s="44">
        <f>SUM($E$27:E39)</f>
        <v>322597.81652612024</v>
      </c>
      <c r="G41" s="86">
        <v>0</v>
      </c>
      <c r="H41" s="191">
        <f t="shared" si="3"/>
        <v>109164.31269689728</v>
      </c>
      <c r="I41" s="84"/>
      <c r="J41" s="79"/>
      <c r="K41" s="84"/>
      <c r="L41" s="84"/>
    </row>
    <row r="42" spans="1:12" ht="15.75" customHeight="1" x14ac:dyDescent="0.3">
      <c r="A42" s="172">
        <v>21</v>
      </c>
      <c r="B42" s="21" t="s">
        <v>889</v>
      </c>
      <c r="C42" s="81">
        <v>0</v>
      </c>
      <c r="D42" s="44">
        <f t="shared" si="4"/>
        <v>6505.8480588703351</v>
      </c>
      <c r="E42" s="44">
        <f t="shared" si="5"/>
        <v>29017.271941129668</v>
      </c>
      <c r="F42" s="44">
        <f>SUM($E$27:E40)</f>
        <v>351924.89075576753</v>
      </c>
      <c r="G42" s="81">
        <v>0</v>
      </c>
      <c r="H42" s="191">
        <f t="shared" si="3"/>
        <v>138181.58463802695</v>
      </c>
      <c r="I42" s="84"/>
      <c r="J42" s="79"/>
      <c r="K42" s="84"/>
      <c r="L42" s="84"/>
    </row>
    <row r="43" spans="1:12" ht="15.75" customHeight="1" x14ac:dyDescent="0.3">
      <c r="A43" s="178">
        <v>22</v>
      </c>
      <c r="B43" s="19" t="s">
        <v>890</v>
      </c>
      <c r="C43" s="86">
        <v>0</v>
      </c>
      <c r="D43" s="44">
        <f t="shared" si="4"/>
        <v>6505.8480588703351</v>
      </c>
      <c r="E43" s="44">
        <f t="shared" si="5"/>
        <v>29017.271941129668</v>
      </c>
      <c r="F43" s="44">
        <f>SUM($E$27:E41)</f>
        <v>380942.16269689717</v>
      </c>
      <c r="G43" s="86">
        <v>0</v>
      </c>
      <c r="H43" s="191">
        <f t="shared" si="3"/>
        <v>167198.85657915662</v>
      </c>
      <c r="I43" s="84"/>
      <c r="J43" s="79"/>
      <c r="K43" s="84"/>
      <c r="L43" s="84"/>
    </row>
    <row r="44" spans="1:12" ht="15.75" customHeight="1" x14ac:dyDescent="0.3">
      <c r="A44" s="172">
        <v>23</v>
      </c>
      <c r="B44" s="21" t="s">
        <v>891</v>
      </c>
      <c r="C44" s="81">
        <v>0</v>
      </c>
      <c r="D44" s="44">
        <f t="shared" si="4"/>
        <v>6505.8480588703351</v>
      </c>
      <c r="E44" s="44">
        <f t="shared" si="5"/>
        <v>29017.271941129668</v>
      </c>
      <c r="F44" s="44">
        <f>SUM($E$27:E42)</f>
        <v>409959.43463802681</v>
      </c>
      <c r="G44" s="81">
        <v>0</v>
      </c>
      <c r="H44" s="191">
        <f t="shared" si="3"/>
        <v>196216.12852028629</v>
      </c>
      <c r="I44" s="84"/>
      <c r="J44" s="79"/>
      <c r="K44" s="84"/>
      <c r="L44" s="84"/>
    </row>
    <row r="45" spans="1:12" ht="15.75" customHeight="1" x14ac:dyDescent="0.3">
      <c r="A45" s="178">
        <v>24</v>
      </c>
      <c r="B45" s="19" t="s">
        <v>892</v>
      </c>
      <c r="C45" s="86">
        <v>0</v>
      </c>
      <c r="D45" s="44">
        <f t="shared" si="4"/>
        <v>6505.8480588703351</v>
      </c>
      <c r="E45" s="44">
        <f t="shared" si="5"/>
        <v>29017.271941129668</v>
      </c>
      <c r="F45" s="44">
        <f>SUM($E$27:E43)</f>
        <v>438976.70657915645</v>
      </c>
      <c r="G45" s="86">
        <v>0</v>
      </c>
      <c r="H45" s="191">
        <f t="shared" si="3"/>
        <v>225233.40046141596</v>
      </c>
      <c r="I45" s="84"/>
      <c r="J45" s="79"/>
      <c r="K45" s="84"/>
      <c r="L45" s="84"/>
    </row>
    <row r="46" spans="1:12" ht="15.75" customHeight="1" x14ac:dyDescent="0.3">
      <c r="A46" s="172">
        <v>25</v>
      </c>
      <c r="B46" s="21" t="s">
        <v>893</v>
      </c>
      <c r="C46" s="81">
        <v>0</v>
      </c>
      <c r="D46" s="44">
        <f t="shared" si="4"/>
        <v>6505.8480588703351</v>
      </c>
      <c r="E46" s="44">
        <f t="shared" si="5"/>
        <v>29017.271941129668</v>
      </c>
      <c r="F46" s="44">
        <f>SUM($E$27:E44)</f>
        <v>467993.97852028609</v>
      </c>
      <c r="G46" s="81">
        <v>0</v>
      </c>
      <c r="H46" s="191">
        <f t="shared" si="3"/>
        <v>254250.67240254564</v>
      </c>
      <c r="I46" s="84"/>
      <c r="J46" s="79"/>
      <c r="K46" s="84"/>
      <c r="L46" s="84"/>
    </row>
    <row r="47" spans="1:12" ht="15.75" customHeight="1" x14ac:dyDescent="0.3">
      <c r="A47" s="178">
        <v>26</v>
      </c>
      <c r="B47" s="19" t="s">
        <v>894</v>
      </c>
      <c r="C47" s="86">
        <v>0</v>
      </c>
      <c r="D47" s="44">
        <f t="shared" si="4"/>
        <v>6505.8480588703351</v>
      </c>
      <c r="E47" s="44">
        <f t="shared" si="5"/>
        <v>29017.271941129668</v>
      </c>
      <c r="F47" s="44">
        <f>SUM($E$27:E45)</f>
        <v>497011.25046141574</v>
      </c>
      <c r="G47" s="86">
        <v>0</v>
      </c>
      <c r="H47" s="191">
        <f t="shared" si="3"/>
        <v>283267.94434367528</v>
      </c>
      <c r="I47" s="84"/>
      <c r="J47" s="79"/>
      <c r="K47" s="84"/>
      <c r="L47" s="84"/>
    </row>
    <row r="48" spans="1:12" ht="15.75" customHeight="1" x14ac:dyDescent="0.3">
      <c r="A48" s="172">
        <v>27</v>
      </c>
      <c r="B48" s="21" t="s">
        <v>895</v>
      </c>
      <c r="C48" s="81">
        <v>0</v>
      </c>
      <c r="D48" s="44">
        <f t="shared" si="4"/>
        <v>6505.8480588703351</v>
      </c>
      <c r="E48" s="44">
        <f t="shared" si="5"/>
        <v>29017.271941129668</v>
      </c>
      <c r="F48" s="44">
        <f>SUM($E$27:E46)</f>
        <v>526028.52240254544</v>
      </c>
      <c r="G48" s="81">
        <v>0</v>
      </c>
      <c r="H48" s="191">
        <f t="shared" si="3"/>
        <v>312285.21628480492</v>
      </c>
      <c r="I48" s="84"/>
      <c r="J48" s="79"/>
      <c r="K48" s="84"/>
      <c r="L48" s="84"/>
    </row>
    <row r="49" spans="1:12" ht="15.75" customHeight="1" x14ac:dyDescent="0.3">
      <c r="A49" s="178">
        <v>28</v>
      </c>
      <c r="B49" s="19" t="s">
        <v>896</v>
      </c>
      <c r="C49" s="86">
        <v>0</v>
      </c>
      <c r="D49" s="44">
        <f t="shared" si="4"/>
        <v>6505.8480588703351</v>
      </c>
      <c r="E49" s="44">
        <f t="shared" si="5"/>
        <v>29017.271941129668</v>
      </c>
      <c r="F49" s="44">
        <f>SUM($E$27:E47)</f>
        <v>555045.79434367514</v>
      </c>
      <c r="G49" s="86">
        <v>0</v>
      </c>
      <c r="H49" s="191">
        <f t="shared" si="3"/>
        <v>341302.48822593456</v>
      </c>
      <c r="I49" s="84"/>
      <c r="J49" s="79"/>
      <c r="K49" s="84"/>
      <c r="L49" s="84"/>
    </row>
    <row r="50" spans="1:12" ht="15.75" customHeight="1" x14ac:dyDescent="0.3">
      <c r="A50" s="172">
        <v>29</v>
      </c>
      <c r="B50" s="21" t="s">
        <v>897</v>
      </c>
      <c r="C50" s="81">
        <v>0</v>
      </c>
      <c r="D50" s="44">
        <f t="shared" si="4"/>
        <v>6505.8480588703351</v>
      </c>
      <c r="E50" s="44">
        <f t="shared" si="5"/>
        <v>29017.271941129668</v>
      </c>
      <c r="F50" s="44">
        <f>SUM($E$27:E48)</f>
        <v>584063.06628480484</v>
      </c>
      <c r="G50" s="81">
        <v>0</v>
      </c>
      <c r="H50" s="191">
        <f t="shared" si="3"/>
        <v>370319.7601670642</v>
      </c>
      <c r="I50" s="84"/>
      <c r="J50" s="79"/>
      <c r="K50" s="84"/>
      <c r="L50" s="84"/>
    </row>
    <row r="51" spans="1:12" ht="15.75" customHeight="1" x14ac:dyDescent="0.3">
      <c r="A51" s="178">
        <v>30</v>
      </c>
      <c r="B51" s="19" t="s">
        <v>898</v>
      </c>
      <c r="C51" s="86">
        <v>0</v>
      </c>
      <c r="D51" s="44">
        <f t="shared" si="4"/>
        <v>6505.8480588703351</v>
      </c>
      <c r="E51" s="44">
        <f t="shared" si="5"/>
        <v>29017.271941129668</v>
      </c>
      <c r="F51" s="44">
        <f>SUM($E$27:E49)</f>
        <v>613080.33822593454</v>
      </c>
      <c r="G51" s="86">
        <v>0</v>
      </c>
      <c r="H51" s="191">
        <f t="shared" si="3"/>
        <v>399337.03210819385</v>
      </c>
      <c r="I51" s="84"/>
      <c r="J51" s="79"/>
      <c r="K51" s="84"/>
      <c r="L51" s="84"/>
    </row>
    <row r="52" spans="1:12" ht="15.75" customHeight="1" x14ac:dyDescent="0.3">
      <c r="A52" s="192">
        <v>31</v>
      </c>
      <c r="B52" s="133" t="s">
        <v>899</v>
      </c>
      <c r="C52" s="77">
        <v>0</v>
      </c>
      <c r="D52" s="44">
        <f t="shared" si="4"/>
        <v>6505.8480588703351</v>
      </c>
      <c r="E52" s="82">
        <f t="shared" si="5"/>
        <v>29017.271941129668</v>
      </c>
      <c r="F52" s="82">
        <f>SUM($E$27:E50)</f>
        <v>642097.61016706424</v>
      </c>
      <c r="G52" s="77">
        <v>0</v>
      </c>
      <c r="H52" s="82">
        <f t="shared" si="3"/>
        <v>428354.30404932349</v>
      </c>
      <c r="I52" s="61"/>
      <c r="J52" s="61"/>
      <c r="K52" s="61"/>
      <c r="L52" s="61"/>
    </row>
    <row r="53" spans="1:12" ht="15.75" customHeight="1" x14ac:dyDescent="0.3">
      <c r="A53" s="178">
        <v>32</v>
      </c>
      <c r="B53" s="193" t="s">
        <v>900</v>
      </c>
      <c r="C53" s="86">
        <v>0</v>
      </c>
      <c r="D53" s="44">
        <f t="shared" ref="D53:D64" si="6">$B$6*(1+$B$8)^2</f>
        <v>6831.1404618138522</v>
      </c>
      <c r="E53" s="44">
        <f t="shared" ref="E53:E64" si="7">$B$5-$B$6*(1+$B$8)^2</f>
        <v>28691.979538186151</v>
      </c>
      <c r="F53" s="44">
        <f>SUM($E$27:E51)</f>
        <v>671114.88210819394</v>
      </c>
      <c r="G53" s="86">
        <v>0</v>
      </c>
      <c r="H53" s="191">
        <f t="shared" si="3"/>
        <v>457046.28358750965</v>
      </c>
      <c r="I53" s="61"/>
      <c r="J53" s="61"/>
      <c r="K53" s="61"/>
      <c r="L53" s="61"/>
    </row>
    <row r="54" spans="1:12" ht="15.75" customHeight="1" x14ac:dyDescent="0.3">
      <c r="A54" s="172">
        <v>33</v>
      </c>
      <c r="B54" s="194" t="s">
        <v>901</v>
      </c>
      <c r="C54" s="81">
        <v>0</v>
      </c>
      <c r="D54" s="44">
        <f t="shared" si="6"/>
        <v>6831.1404618138522</v>
      </c>
      <c r="E54" s="44">
        <f t="shared" si="7"/>
        <v>28691.979538186151</v>
      </c>
      <c r="F54" s="44">
        <f>SUM($E$27:E52)</f>
        <v>700132.15404932364</v>
      </c>
      <c r="G54" s="81">
        <v>0</v>
      </c>
      <c r="H54" s="191">
        <f t="shared" si="3"/>
        <v>485738.26312569581</v>
      </c>
      <c r="I54" s="79"/>
      <c r="J54" s="79"/>
      <c r="K54" s="79"/>
      <c r="L54" s="79"/>
    </row>
    <row r="55" spans="1:12" ht="15.75" customHeight="1" x14ac:dyDescent="0.3">
      <c r="A55" s="178">
        <v>34</v>
      </c>
      <c r="B55" s="193" t="s">
        <v>902</v>
      </c>
      <c r="C55" s="86">
        <v>0</v>
      </c>
      <c r="D55" s="44">
        <f t="shared" si="6"/>
        <v>6831.1404618138522</v>
      </c>
      <c r="E55" s="44">
        <f t="shared" si="7"/>
        <v>28691.979538186151</v>
      </c>
      <c r="F55" s="44">
        <f>SUM($E$27:E53)</f>
        <v>728824.13358750974</v>
      </c>
      <c r="G55" s="86">
        <v>0</v>
      </c>
      <c r="H55" s="191">
        <f t="shared" si="3"/>
        <v>514430.24266388197</v>
      </c>
      <c r="I55" s="79"/>
      <c r="J55" s="195"/>
      <c r="K55" s="79"/>
      <c r="L55" s="164"/>
    </row>
    <row r="56" spans="1:12" ht="15.75" customHeight="1" x14ac:dyDescent="0.3">
      <c r="A56" s="172">
        <v>35</v>
      </c>
      <c r="B56" s="194" t="s">
        <v>903</v>
      </c>
      <c r="C56" s="81">
        <v>0</v>
      </c>
      <c r="D56" s="44">
        <f t="shared" si="6"/>
        <v>6831.1404618138522</v>
      </c>
      <c r="E56" s="44">
        <f t="shared" si="7"/>
        <v>28691.979538186151</v>
      </c>
      <c r="F56" s="44">
        <f>SUM($E$27:E54)</f>
        <v>757516.11312569585</v>
      </c>
      <c r="G56" s="81">
        <v>0</v>
      </c>
      <c r="H56" s="191">
        <f t="shared" si="3"/>
        <v>543122.22220206808</v>
      </c>
      <c r="I56" s="79"/>
      <c r="J56" s="195"/>
      <c r="K56" s="79"/>
      <c r="L56" s="164"/>
    </row>
    <row r="57" spans="1:12" ht="15.75" customHeight="1" x14ac:dyDescent="0.3">
      <c r="A57" s="178">
        <v>36</v>
      </c>
      <c r="B57" s="193" t="s">
        <v>904</v>
      </c>
      <c r="C57" s="86">
        <v>0</v>
      </c>
      <c r="D57" s="44">
        <f t="shared" si="6"/>
        <v>6831.1404618138522</v>
      </c>
      <c r="E57" s="44">
        <f t="shared" si="7"/>
        <v>28691.979538186151</v>
      </c>
      <c r="F57" s="44">
        <f>SUM($E$27:E55)</f>
        <v>786208.09266388195</v>
      </c>
      <c r="G57" s="86">
        <v>0</v>
      </c>
      <c r="H57" s="191">
        <f t="shared" si="3"/>
        <v>571814.20174025418</v>
      </c>
      <c r="I57" s="79"/>
      <c r="J57" s="195"/>
      <c r="K57" s="79"/>
      <c r="L57" s="164"/>
    </row>
    <row r="58" spans="1:12" ht="15.75" customHeight="1" x14ac:dyDescent="0.3">
      <c r="A58" s="172">
        <v>37</v>
      </c>
      <c r="B58" s="194" t="s">
        <v>905</v>
      </c>
      <c r="C58" s="81">
        <v>0</v>
      </c>
      <c r="D58" s="44">
        <f t="shared" si="6"/>
        <v>6831.1404618138522</v>
      </c>
      <c r="E58" s="44">
        <f t="shared" si="7"/>
        <v>28691.979538186151</v>
      </c>
      <c r="F58" s="44">
        <f>SUM($E$27:E56)</f>
        <v>814900.07220206806</v>
      </c>
      <c r="G58" s="81">
        <v>0</v>
      </c>
      <c r="H58" s="191">
        <f t="shared" si="3"/>
        <v>600506.18127844029</v>
      </c>
      <c r="I58" s="79"/>
      <c r="J58" s="195"/>
      <c r="K58" s="79"/>
      <c r="L58" s="164"/>
    </row>
    <row r="59" spans="1:12" ht="15.75" customHeight="1" x14ac:dyDescent="0.3">
      <c r="A59" s="178">
        <v>38</v>
      </c>
      <c r="B59" s="19" t="s">
        <v>906</v>
      </c>
      <c r="C59" s="86">
        <v>0</v>
      </c>
      <c r="D59" s="44">
        <f t="shared" si="6"/>
        <v>6831.1404618138522</v>
      </c>
      <c r="E59" s="44">
        <f t="shared" si="7"/>
        <v>28691.979538186151</v>
      </c>
      <c r="F59" s="44">
        <f>SUM($E$27:E57)</f>
        <v>843592.05174025416</v>
      </c>
      <c r="G59" s="86">
        <v>0</v>
      </c>
      <c r="H59" s="191">
        <f t="shared" si="3"/>
        <v>629198.16081662639</v>
      </c>
    </row>
    <row r="60" spans="1:12" ht="15.75" customHeight="1" x14ac:dyDescent="0.3">
      <c r="A60" s="172">
        <v>39</v>
      </c>
      <c r="B60" s="21" t="s">
        <v>907</v>
      </c>
      <c r="C60" s="81">
        <v>0</v>
      </c>
      <c r="D60" s="44">
        <f t="shared" si="6"/>
        <v>6831.1404618138522</v>
      </c>
      <c r="E60" s="44">
        <f t="shared" si="7"/>
        <v>28691.979538186151</v>
      </c>
      <c r="F60" s="44">
        <f>SUM($E$27:E58)</f>
        <v>872284.03127844026</v>
      </c>
      <c r="G60" s="81">
        <v>0</v>
      </c>
      <c r="H60" s="191">
        <f t="shared" si="3"/>
        <v>657890.14035481249</v>
      </c>
    </row>
    <row r="61" spans="1:12" ht="15.75" customHeight="1" x14ac:dyDescent="0.3">
      <c r="A61" s="178">
        <v>40</v>
      </c>
      <c r="B61" s="19" t="s">
        <v>908</v>
      </c>
      <c r="C61" s="86">
        <v>0</v>
      </c>
      <c r="D61" s="44">
        <f t="shared" si="6"/>
        <v>6831.1404618138522</v>
      </c>
      <c r="E61" s="44">
        <f t="shared" si="7"/>
        <v>28691.979538186151</v>
      </c>
      <c r="F61" s="44">
        <f>SUM($E$27:E59)</f>
        <v>900976.01081662637</v>
      </c>
      <c r="G61" s="86">
        <v>0</v>
      </c>
      <c r="H61" s="191">
        <f t="shared" si="3"/>
        <v>686582.1198929986</v>
      </c>
    </row>
    <row r="62" spans="1:12" ht="15.75" customHeight="1" x14ac:dyDescent="0.3">
      <c r="A62" s="172">
        <v>41</v>
      </c>
      <c r="B62" s="21" t="s">
        <v>909</v>
      </c>
      <c r="C62" s="81">
        <v>0</v>
      </c>
      <c r="D62" s="44">
        <f t="shared" si="6"/>
        <v>6831.1404618138522</v>
      </c>
      <c r="E62" s="44">
        <f t="shared" si="7"/>
        <v>28691.979538186151</v>
      </c>
      <c r="F62" s="44">
        <f>SUM($E$27:E60)</f>
        <v>929667.99035481247</v>
      </c>
      <c r="G62" s="81">
        <v>0</v>
      </c>
      <c r="H62" s="191">
        <f t="shared" si="3"/>
        <v>715274.0994311847</v>
      </c>
    </row>
    <row r="63" spans="1:12" ht="15.75" customHeight="1" x14ac:dyDescent="0.3">
      <c r="A63" s="178">
        <v>42</v>
      </c>
      <c r="B63" s="19" t="s">
        <v>910</v>
      </c>
      <c r="C63" s="86">
        <v>0</v>
      </c>
      <c r="D63" s="44">
        <f t="shared" si="6"/>
        <v>6831.1404618138522</v>
      </c>
      <c r="E63" s="44">
        <f t="shared" si="7"/>
        <v>28691.979538186151</v>
      </c>
      <c r="F63" s="44">
        <f>SUM($E$27:E61)</f>
        <v>958359.96989299858</v>
      </c>
      <c r="G63" s="86">
        <v>0</v>
      </c>
      <c r="H63" s="191">
        <f t="shared" si="3"/>
        <v>743966.07896937081</v>
      </c>
    </row>
    <row r="64" spans="1:12" ht="15.75" customHeight="1" x14ac:dyDescent="0.3">
      <c r="A64" s="192">
        <v>43</v>
      </c>
      <c r="B64" s="133" t="s">
        <v>911</v>
      </c>
      <c r="C64" s="77">
        <v>0</v>
      </c>
      <c r="D64" s="44">
        <f t="shared" si="6"/>
        <v>6831.1404618138522</v>
      </c>
      <c r="E64" s="82">
        <f t="shared" si="7"/>
        <v>28691.979538186151</v>
      </c>
      <c r="F64" s="82">
        <f>SUM($E$27:E62)</f>
        <v>987051.94943118468</v>
      </c>
      <c r="G64" s="77">
        <v>0</v>
      </c>
      <c r="H64" s="82">
        <f t="shared" si="3"/>
        <v>772658.05850755691</v>
      </c>
    </row>
    <row r="65" spans="1:8" ht="15.75" customHeight="1" x14ac:dyDescent="0.3">
      <c r="A65" s="178">
        <v>44</v>
      </c>
      <c r="B65" s="19" t="s">
        <v>912</v>
      </c>
      <c r="C65" s="86">
        <v>0</v>
      </c>
      <c r="D65" s="44">
        <f t="shared" ref="D65:D75" si="8">$B$6*(1+$B$8)^3</f>
        <v>7172.6974849045455</v>
      </c>
      <c r="E65" s="44">
        <f t="shared" ref="E65:E75" si="9">$B$5-$B$6*(1+$B$8)^3</f>
        <v>28350.422515095459</v>
      </c>
      <c r="F65" s="44">
        <f>SUM($E$27:E63)</f>
        <v>1015743.9289693708</v>
      </c>
      <c r="G65" s="86">
        <v>0</v>
      </c>
      <c r="H65" s="191">
        <f t="shared" si="3"/>
        <v>801008.48102265236</v>
      </c>
    </row>
    <row r="66" spans="1:8" ht="15.75" customHeight="1" x14ac:dyDescent="0.3">
      <c r="A66" s="172">
        <v>45</v>
      </c>
      <c r="B66" s="21" t="s">
        <v>913</v>
      </c>
      <c r="C66" s="81">
        <v>0</v>
      </c>
      <c r="D66" s="44">
        <f t="shared" si="8"/>
        <v>7172.6974849045455</v>
      </c>
      <c r="E66" s="44">
        <f t="shared" si="9"/>
        <v>28350.422515095459</v>
      </c>
      <c r="F66" s="44">
        <f>SUM($E$27:E64)</f>
        <v>1044435.9085075569</v>
      </c>
      <c r="G66" s="81">
        <v>0</v>
      </c>
      <c r="H66" s="191">
        <f t="shared" si="3"/>
        <v>829358.9035377478</v>
      </c>
    </row>
    <row r="67" spans="1:8" ht="15.75" customHeight="1" x14ac:dyDescent="0.3">
      <c r="A67" s="178">
        <v>46</v>
      </c>
      <c r="B67" s="19" t="s">
        <v>914</v>
      </c>
      <c r="C67" s="86">
        <v>0</v>
      </c>
      <c r="D67" s="44">
        <f t="shared" si="8"/>
        <v>7172.6974849045455</v>
      </c>
      <c r="E67" s="44">
        <f t="shared" si="9"/>
        <v>28350.422515095459</v>
      </c>
      <c r="F67" s="44">
        <f>SUM($E$27:E65)</f>
        <v>1072786.3310226523</v>
      </c>
      <c r="G67" s="86">
        <v>0</v>
      </c>
      <c r="H67" s="191">
        <f t="shared" si="3"/>
        <v>857709.32605284324</v>
      </c>
    </row>
    <row r="68" spans="1:8" ht="15.75" customHeight="1" x14ac:dyDescent="0.3">
      <c r="A68" s="172">
        <v>47</v>
      </c>
      <c r="B68" s="21" t="s">
        <v>915</v>
      </c>
      <c r="C68" s="81">
        <v>0</v>
      </c>
      <c r="D68" s="44">
        <f t="shared" si="8"/>
        <v>7172.6974849045455</v>
      </c>
      <c r="E68" s="44">
        <f t="shared" si="9"/>
        <v>28350.422515095459</v>
      </c>
      <c r="F68" s="44">
        <f>SUM($E$27:E66)</f>
        <v>1101136.7535377478</v>
      </c>
      <c r="G68" s="81">
        <v>0</v>
      </c>
      <c r="H68" s="191">
        <f t="shared" si="3"/>
        <v>886059.74856793869</v>
      </c>
    </row>
    <row r="69" spans="1:8" ht="15.75" customHeight="1" x14ac:dyDescent="0.3">
      <c r="A69" s="178">
        <v>48</v>
      </c>
      <c r="B69" s="19" t="s">
        <v>916</v>
      </c>
      <c r="C69" s="86">
        <v>0</v>
      </c>
      <c r="D69" s="44">
        <f t="shared" si="8"/>
        <v>7172.6974849045455</v>
      </c>
      <c r="E69" s="44">
        <f t="shared" si="9"/>
        <v>28350.422515095459</v>
      </c>
      <c r="F69" s="44">
        <f>SUM($E$27:E67)</f>
        <v>1129487.1760528432</v>
      </c>
      <c r="G69" s="86">
        <v>0</v>
      </c>
      <c r="H69" s="191">
        <f t="shared" si="3"/>
        <v>914410.17108303413</v>
      </c>
    </row>
    <row r="70" spans="1:8" ht="15.75" customHeight="1" x14ac:dyDescent="0.3">
      <c r="A70" s="172">
        <v>49</v>
      </c>
      <c r="B70" s="21" t="s">
        <v>917</v>
      </c>
      <c r="C70" s="81">
        <v>0</v>
      </c>
      <c r="D70" s="44">
        <f t="shared" si="8"/>
        <v>7172.6974849045455</v>
      </c>
      <c r="E70" s="44">
        <f t="shared" si="9"/>
        <v>28350.422515095459</v>
      </c>
      <c r="F70" s="44">
        <f>SUM($E$27:E68)</f>
        <v>1157837.5985679387</v>
      </c>
      <c r="G70" s="81">
        <v>0</v>
      </c>
      <c r="H70" s="191">
        <f t="shared" si="3"/>
        <v>942760.59359812958</v>
      </c>
    </row>
    <row r="71" spans="1:8" ht="15.75" customHeight="1" x14ac:dyDescent="0.3">
      <c r="A71" s="178">
        <v>50</v>
      </c>
      <c r="B71" s="19" t="s">
        <v>918</v>
      </c>
      <c r="C71" s="86">
        <v>0</v>
      </c>
      <c r="D71" s="44">
        <f t="shared" si="8"/>
        <v>7172.6974849045455</v>
      </c>
      <c r="E71" s="44">
        <f t="shared" si="9"/>
        <v>28350.422515095459</v>
      </c>
      <c r="F71" s="44">
        <f>SUM($E$27:E69)</f>
        <v>1186188.0210830341</v>
      </c>
      <c r="G71" s="86">
        <v>0</v>
      </c>
      <c r="H71" s="191">
        <f t="shared" si="3"/>
        <v>971111.01611322502</v>
      </c>
    </row>
    <row r="72" spans="1:8" ht="15.75" customHeight="1" x14ac:dyDescent="0.3">
      <c r="A72" s="172">
        <v>51</v>
      </c>
      <c r="B72" s="21" t="s">
        <v>919</v>
      </c>
      <c r="C72" s="81">
        <v>0</v>
      </c>
      <c r="D72" s="44">
        <f t="shared" si="8"/>
        <v>7172.6974849045455</v>
      </c>
      <c r="E72" s="44">
        <f t="shared" si="9"/>
        <v>28350.422515095459</v>
      </c>
      <c r="F72" s="44">
        <f>SUM($E$27:E70)</f>
        <v>1214538.4435981296</v>
      </c>
      <c r="G72" s="81">
        <v>0</v>
      </c>
      <c r="H72" s="191">
        <f t="shared" si="3"/>
        <v>999461.43862832047</v>
      </c>
    </row>
    <row r="73" spans="1:8" ht="15.75" customHeight="1" x14ac:dyDescent="0.3">
      <c r="A73" s="178">
        <v>52</v>
      </c>
      <c r="B73" s="19" t="s">
        <v>920</v>
      </c>
      <c r="C73" s="86">
        <v>0</v>
      </c>
      <c r="D73" s="44">
        <f t="shared" si="8"/>
        <v>7172.6974849045455</v>
      </c>
      <c r="E73" s="44">
        <f t="shared" si="9"/>
        <v>28350.422515095459</v>
      </c>
      <c r="F73" s="44">
        <f>SUM($E$27:E71)</f>
        <v>1242888.866113225</v>
      </c>
      <c r="G73" s="86">
        <v>0</v>
      </c>
      <c r="H73" s="191">
        <f t="shared" si="3"/>
        <v>1027811.8611434159</v>
      </c>
    </row>
    <row r="74" spans="1:8" ht="15.75" customHeight="1" x14ac:dyDescent="0.3">
      <c r="A74" s="172">
        <v>53</v>
      </c>
      <c r="B74" s="21" t="s">
        <v>921</v>
      </c>
      <c r="C74" s="81">
        <v>0</v>
      </c>
      <c r="D74" s="44">
        <f t="shared" si="8"/>
        <v>7172.6974849045455</v>
      </c>
      <c r="E74" s="44">
        <f t="shared" si="9"/>
        <v>28350.422515095459</v>
      </c>
      <c r="F74" s="44">
        <f>SUM($E$27:E72)</f>
        <v>1271239.2886283204</v>
      </c>
      <c r="G74" s="81">
        <v>0</v>
      </c>
      <c r="H74" s="191">
        <f t="shared" si="3"/>
        <v>1056162.2836585115</v>
      </c>
    </row>
    <row r="75" spans="1:8" ht="25.8" customHeight="1" x14ac:dyDescent="0.3">
      <c r="A75" s="178">
        <v>54</v>
      </c>
      <c r="B75" s="19" t="s">
        <v>922</v>
      </c>
      <c r="C75" s="86">
        <v>0</v>
      </c>
      <c r="D75" s="44">
        <f t="shared" si="8"/>
        <v>7172.6974849045455</v>
      </c>
      <c r="E75" s="44">
        <f t="shared" si="9"/>
        <v>28350.422515095459</v>
      </c>
      <c r="F75" s="44">
        <f>SUM($E$27:E73)</f>
        <v>1299589.7111434159</v>
      </c>
      <c r="G75" s="86">
        <v>0</v>
      </c>
      <c r="H75" s="191">
        <f t="shared" si="3"/>
        <v>1084512.7061736069</v>
      </c>
    </row>
    <row r="76" spans="1:8" ht="18" customHeight="1" x14ac:dyDescent="0.3">
      <c r="A76" s="246">
        <v>55</v>
      </c>
      <c r="B76" s="246"/>
      <c r="C76" s="246"/>
      <c r="D76" s="246"/>
      <c r="E76" s="246"/>
      <c r="F76" s="246"/>
      <c r="G76" s="246"/>
      <c r="H76" s="246"/>
    </row>
    <row r="77" spans="1:8" ht="27.75" customHeight="1" x14ac:dyDescent="0.3"/>
    <row r="78" spans="1:8" ht="19.5" customHeight="1" x14ac:dyDescent="0.3">
      <c r="A78" s="53" t="s">
        <v>923</v>
      </c>
      <c r="B78" s="167"/>
      <c r="C78" s="167"/>
      <c r="D78" s="167"/>
      <c r="E78" s="167"/>
      <c r="F78" s="167"/>
      <c r="G78" s="167"/>
      <c r="H78" s="167"/>
    </row>
    <row r="79" spans="1:8" ht="21.75" customHeight="1" x14ac:dyDescent="0.3">
      <c r="A79" s="37" t="s">
        <v>924</v>
      </c>
      <c r="B79" s="37" t="s">
        <v>925</v>
      </c>
      <c r="C79" s="37" t="s">
        <v>926</v>
      </c>
      <c r="D79" s="37" t="s">
        <v>871</v>
      </c>
      <c r="E79" s="37" t="s">
        <v>927</v>
      </c>
      <c r="F79" s="37" t="s">
        <v>928</v>
      </c>
      <c r="G79" s="37" t="s">
        <v>929</v>
      </c>
      <c r="H79" s="37" t="s">
        <v>930</v>
      </c>
    </row>
    <row r="80" spans="1:8" ht="21.75" customHeight="1" x14ac:dyDescent="0.3">
      <c r="A80" s="29" t="s">
        <v>620</v>
      </c>
      <c r="B80" s="29" t="s">
        <v>931</v>
      </c>
      <c r="C80" s="196">
        <f>SUM(C17:C22)</f>
        <v>150407.61000000002</v>
      </c>
      <c r="D80" s="196">
        <f>SUM(D17:D22)</f>
        <v>25007.64</v>
      </c>
      <c r="E80" s="32" t="s">
        <v>932</v>
      </c>
      <c r="F80" s="196">
        <f>SUM(F17:F22)</f>
        <v>121370.23999999999</v>
      </c>
      <c r="G80" s="197">
        <f>H23</f>
        <v>-271777.84999999998</v>
      </c>
      <c r="H80" s="197">
        <f>H23</f>
        <v>-271777.84999999998</v>
      </c>
    </row>
    <row r="81" spans="1:8" ht="21.75" customHeight="1" x14ac:dyDescent="0.3">
      <c r="A81" s="40" t="s">
        <v>933</v>
      </c>
      <c r="B81" s="40" t="s">
        <v>934</v>
      </c>
      <c r="C81" s="193">
        <f>SUM(C27:C38)</f>
        <v>0</v>
      </c>
      <c r="D81" s="149">
        <f>SUM(D27:D38)</f>
        <v>61960.457703526998</v>
      </c>
      <c r="E81" s="149">
        <f>$B$5*12-(SUM(D27:D38))</f>
        <v>364316.98229647306</v>
      </c>
      <c r="F81" s="193">
        <v>0</v>
      </c>
      <c r="G81" s="198">
        <f>$B$5*12-(SUM(D27:D38))</f>
        <v>364316.98229647306</v>
      </c>
      <c r="H81" s="199">
        <f>H80+G81</f>
        <v>92539.132296473079</v>
      </c>
    </row>
    <row r="82" spans="1:8" ht="21.75" customHeight="1" x14ac:dyDescent="0.3">
      <c r="A82" s="45" t="s">
        <v>935</v>
      </c>
      <c r="B82" s="45" t="s">
        <v>936</v>
      </c>
      <c r="C82" s="193">
        <f>SUM(C39:C50)</f>
        <v>0</v>
      </c>
      <c r="D82" s="149">
        <f>SUM(D39:D50)</f>
        <v>77450.572129408771</v>
      </c>
      <c r="E82" s="149">
        <f>$B$5*12-(SUM(D39:D50))</f>
        <v>348826.86787059129</v>
      </c>
      <c r="F82" s="194">
        <v>0</v>
      </c>
      <c r="G82" s="198">
        <f>$B$5*12-(SUM(D39:D50))</f>
        <v>348826.86787059129</v>
      </c>
      <c r="H82" s="199">
        <f>H81+G82</f>
        <v>441366.00016706437</v>
      </c>
    </row>
    <row r="83" spans="1:8" ht="30" customHeight="1" x14ac:dyDescent="0.3">
      <c r="A83" s="40" t="s">
        <v>937</v>
      </c>
      <c r="B83" s="40" t="s">
        <v>938</v>
      </c>
      <c r="C83" s="193">
        <f>SUM(C51:C62)</f>
        <v>0</v>
      </c>
      <c r="D83" s="149">
        <f>SUM(D51:D62)</f>
        <v>81323.100735879198</v>
      </c>
      <c r="E83" s="149">
        <f>$B$5*12-(SUM(D51:D62))</f>
        <v>344954.33926412085</v>
      </c>
      <c r="F83" s="193">
        <v>0</v>
      </c>
      <c r="G83" s="198">
        <f>$B$5*12-(SUM(D51:D62))</f>
        <v>344954.33926412085</v>
      </c>
      <c r="H83" s="199">
        <f>H82+G83</f>
        <v>786320.33943118528</v>
      </c>
    </row>
    <row r="84" spans="1:8" ht="15" customHeight="1" x14ac:dyDescent="0.3">
      <c r="A84" s="45" t="s">
        <v>939</v>
      </c>
      <c r="B84" s="45" t="s">
        <v>940</v>
      </c>
      <c r="C84" s="193">
        <f>SUM(C63:C74)</f>
        <v>0</v>
      </c>
      <c r="D84" s="149">
        <f>SUM(D63:D74)</f>
        <v>85389.255772673161</v>
      </c>
      <c r="E84" s="149">
        <f>$B$5*12-(SUM(D63:D74))</f>
        <v>340888.18422732688</v>
      </c>
      <c r="F84" s="194">
        <v>0</v>
      </c>
      <c r="G84" s="198">
        <f>$B$5*12-(SUM(D63:D74))</f>
        <v>340888.18422732688</v>
      </c>
      <c r="H84" s="199">
        <f>H83+G84</f>
        <v>1127208.5236585122</v>
      </c>
    </row>
    <row r="85" spans="1:8" ht="21.75" customHeight="1" x14ac:dyDescent="0.3">
      <c r="A85" s="37" t="s">
        <v>227</v>
      </c>
      <c r="B85" s="124" t="s">
        <v>941</v>
      </c>
      <c r="C85" s="200">
        <f>SUM(C78:C82)</f>
        <v>150407.61000000002</v>
      </c>
      <c r="D85" s="200">
        <f>SUM(D78:D82)</f>
        <v>164418.66983293576</v>
      </c>
      <c r="E85" s="200">
        <f>SUM(E78:E82)</f>
        <v>713143.85016706435</v>
      </c>
      <c r="F85" s="200">
        <f>SUM(F78:F82)</f>
        <v>121370.23999999999</v>
      </c>
      <c r="G85" s="201">
        <f>H23+SUM(G81:G84)</f>
        <v>1127208.5236585122</v>
      </c>
      <c r="H85" s="202">
        <f>H84</f>
        <v>1127208.5236585122</v>
      </c>
    </row>
  </sheetData>
  <mergeCells count="15">
    <mergeCell ref="C12:H12"/>
    <mergeCell ref="A13:H13"/>
    <mergeCell ref="A24:H24"/>
    <mergeCell ref="A25:H25"/>
    <mergeCell ref="A76:H76"/>
    <mergeCell ref="C7:H7"/>
    <mergeCell ref="C8:H8"/>
    <mergeCell ref="C9:H9"/>
    <mergeCell ref="C10:H10"/>
    <mergeCell ref="C11:H11"/>
    <mergeCell ref="A1:H1"/>
    <mergeCell ref="A2:H2"/>
    <mergeCell ref="A4:H4"/>
    <mergeCell ref="C5:H5"/>
    <mergeCell ref="C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5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10" width="14" customWidth="1"/>
  </cols>
  <sheetData>
    <row r="1" spans="1:10" ht="27.75" customHeight="1" x14ac:dyDescent="0.3">
      <c r="A1" s="14" t="s">
        <v>942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2.75" customHeight="1" x14ac:dyDescent="0.3">
      <c r="A2" s="13" t="s">
        <v>943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18" customHeight="1" x14ac:dyDescent="0.3">
      <c r="A4" s="12" t="s">
        <v>944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48" customHeight="1" x14ac:dyDescent="0.3">
      <c r="A5" s="16" t="s">
        <v>945</v>
      </c>
      <c r="B5" s="247" t="s">
        <v>946</v>
      </c>
      <c r="C5" s="247"/>
      <c r="D5" s="247"/>
      <c r="E5" s="247"/>
      <c r="F5" s="247"/>
      <c r="G5" s="247"/>
      <c r="H5" s="247"/>
      <c r="I5" s="247"/>
      <c r="J5" s="247"/>
    </row>
    <row r="6" spans="1:10" ht="48" customHeight="1" x14ac:dyDescent="0.3">
      <c r="A6" s="16" t="s">
        <v>947</v>
      </c>
      <c r="B6" s="247" t="s">
        <v>948</v>
      </c>
      <c r="C6" s="247"/>
      <c r="D6" s="247"/>
      <c r="E6" s="247"/>
      <c r="F6" s="247"/>
      <c r="G6" s="247"/>
      <c r="H6" s="247"/>
      <c r="I6" s="247"/>
      <c r="J6" s="247"/>
    </row>
    <row r="7" spans="1:10" ht="48" customHeight="1" x14ac:dyDescent="0.3">
      <c r="A7" s="16" t="s">
        <v>949</v>
      </c>
      <c r="B7" s="247" t="s">
        <v>950</v>
      </c>
      <c r="C7" s="247"/>
      <c r="D7" s="247"/>
      <c r="E7" s="247"/>
      <c r="F7" s="247"/>
      <c r="G7" s="247"/>
      <c r="H7" s="247"/>
      <c r="I7" s="247"/>
      <c r="J7" s="247"/>
    </row>
    <row r="8" spans="1:10" ht="48" customHeight="1" x14ac:dyDescent="0.3">
      <c r="A8" s="16" t="s">
        <v>951</v>
      </c>
      <c r="B8" s="247" t="s">
        <v>952</v>
      </c>
      <c r="C8" s="247"/>
      <c r="D8" s="247"/>
      <c r="E8" s="247"/>
      <c r="F8" s="247"/>
      <c r="G8" s="247"/>
      <c r="H8" s="247"/>
      <c r="I8" s="247"/>
      <c r="J8" s="247"/>
    </row>
    <row r="9" spans="1:10" ht="48" customHeight="1" x14ac:dyDescent="0.3">
      <c r="A9" s="16" t="s">
        <v>953</v>
      </c>
      <c r="B9" s="247" t="s">
        <v>954</v>
      </c>
      <c r="C9" s="247"/>
      <c r="D9" s="247"/>
      <c r="E9" s="247"/>
      <c r="F9" s="247"/>
      <c r="G9" s="247"/>
      <c r="H9" s="247"/>
      <c r="I9" s="247"/>
      <c r="J9" s="247"/>
    </row>
    <row r="10" spans="1:10" ht="48" customHeight="1" x14ac:dyDescent="0.3">
      <c r="A10" s="16" t="s">
        <v>955</v>
      </c>
      <c r="B10" s="247" t="s">
        <v>956</v>
      </c>
      <c r="C10" s="247"/>
      <c r="D10" s="247"/>
      <c r="E10" s="247"/>
      <c r="F10" s="247"/>
      <c r="G10" s="247"/>
      <c r="H10" s="247"/>
      <c r="I10" s="247"/>
      <c r="J10" s="247"/>
    </row>
    <row r="11" spans="1:10" ht="48" customHeight="1" x14ac:dyDescent="0.3">
      <c r="A11" s="16" t="s">
        <v>957</v>
      </c>
      <c r="B11" s="247" t="s">
        <v>958</v>
      </c>
      <c r="C11" s="247"/>
      <c r="D11" s="247"/>
      <c r="E11" s="247"/>
      <c r="F11" s="247"/>
      <c r="G11" s="247"/>
      <c r="H11" s="247"/>
      <c r="I11" s="247"/>
      <c r="J11" s="247"/>
    </row>
    <row r="13" spans="1:10" ht="18" customHeight="1" x14ac:dyDescent="0.3">
      <c r="A13" s="6" t="s">
        <v>959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ht="48" customHeight="1" x14ac:dyDescent="0.3">
      <c r="A14" s="16" t="s">
        <v>960</v>
      </c>
      <c r="B14" s="247" t="s">
        <v>961</v>
      </c>
      <c r="C14" s="247"/>
      <c r="D14" s="247"/>
      <c r="E14" s="247"/>
      <c r="F14" s="247"/>
      <c r="G14" s="247"/>
      <c r="H14" s="247"/>
      <c r="I14" s="247"/>
      <c r="J14" s="247"/>
    </row>
    <row r="15" spans="1:10" ht="48" customHeight="1" x14ac:dyDescent="0.3">
      <c r="A15" s="16" t="s">
        <v>962</v>
      </c>
      <c r="B15" s="247" t="s">
        <v>963</v>
      </c>
      <c r="C15" s="247"/>
      <c r="D15" s="247"/>
      <c r="E15" s="247"/>
      <c r="F15" s="247"/>
      <c r="G15" s="247"/>
      <c r="H15" s="247"/>
      <c r="I15" s="247"/>
      <c r="J15" s="247"/>
    </row>
    <row r="16" spans="1:10" ht="48" customHeight="1" x14ac:dyDescent="0.3">
      <c r="A16" s="16" t="s">
        <v>964</v>
      </c>
      <c r="B16" s="247" t="s">
        <v>965</v>
      </c>
      <c r="C16" s="247"/>
      <c r="D16" s="247"/>
      <c r="E16" s="247"/>
      <c r="F16" s="247"/>
      <c r="G16" s="247"/>
      <c r="H16" s="247"/>
      <c r="I16" s="247"/>
      <c r="J16" s="247"/>
    </row>
    <row r="17" spans="1:10" ht="48" customHeight="1" x14ac:dyDescent="0.3">
      <c r="A17" s="16" t="s">
        <v>966</v>
      </c>
      <c r="B17" s="247" t="s">
        <v>967</v>
      </c>
      <c r="C17" s="247"/>
      <c r="D17" s="247"/>
      <c r="E17" s="247"/>
      <c r="F17" s="247"/>
      <c r="G17" s="247"/>
      <c r="H17" s="247"/>
      <c r="I17" s="247"/>
      <c r="J17" s="247"/>
    </row>
    <row r="18" spans="1:10" ht="48" customHeight="1" x14ac:dyDescent="0.3">
      <c r="A18" s="16" t="s">
        <v>968</v>
      </c>
      <c r="B18" s="247" t="s">
        <v>969</v>
      </c>
      <c r="C18" s="247"/>
      <c r="D18" s="247"/>
      <c r="E18" s="247"/>
      <c r="F18" s="247"/>
      <c r="G18" s="247"/>
      <c r="H18" s="247"/>
      <c r="I18" s="247"/>
      <c r="J18" s="247"/>
    </row>
    <row r="19" spans="1:10" ht="48" customHeight="1" x14ac:dyDescent="0.3">
      <c r="A19" s="16" t="s">
        <v>970</v>
      </c>
      <c r="B19" s="247" t="s">
        <v>971</v>
      </c>
      <c r="C19" s="247"/>
      <c r="D19" s="247"/>
      <c r="E19" s="247"/>
      <c r="F19" s="247"/>
      <c r="G19" s="247"/>
      <c r="H19" s="247"/>
      <c r="I19" s="247"/>
      <c r="J19" s="247"/>
    </row>
    <row r="20" spans="1:10" ht="48" customHeight="1" x14ac:dyDescent="0.3">
      <c r="A20" s="16" t="s">
        <v>972</v>
      </c>
      <c r="B20" s="247" t="s">
        <v>973</v>
      </c>
      <c r="C20" s="247"/>
      <c r="D20" s="247"/>
      <c r="E20" s="247"/>
      <c r="F20" s="247"/>
      <c r="G20" s="247"/>
      <c r="H20" s="247"/>
      <c r="I20" s="247"/>
      <c r="J20" s="247"/>
    </row>
    <row r="21" spans="1:10" ht="48" customHeight="1" x14ac:dyDescent="0.3">
      <c r="A21" s="16" t="s">
        <v>974</v>
      </c>
      <c r="B21" s="247" t="s">
        <v>975</v>
      </c>
      <c r="C21" s="247"/>
      <c r="D21" s="247"/>
      <c r="E21" s="247"/>
      <c r="F21" s="247"/>
      <c r="G21" s="247"/>
      <c r="H21" s="247"/>
      <c r="I21" s="247"/>
      <c r="J21" s="247"/>
    </row>
    <row r="23" spans="1:10" ht="18" customHeight="1" x14ac:dyDescent="0.3">
      <c r="A23" s="225" t="s">
        <v>976</v>
      </c>
      <c r="B23" s="225"/>
      <c r="C23" s="225"/>
      <c r="D23" s="225"/>
      <c r="E23" s="225"/>
      <c r="F23" s="225"/>
      <c r="G23" s="225"/>
      <c r="H23" s="225"/>
      <c r="I23" s="225"/>
      <c r="J23" s="225"/>
    </row>
    <row r="24" spans="1:10" ht="48" customHeight="1" x14ac:dyDescent="0.3">
      <c r="A24" s="16" t="s">
        <v>977</v>
      </c>
      <c r="B24" s="247" t="s">
        <v>978</v>
      </c>
      <c r="C24" s="247"/>
      <c r="D24" s="247"/>
      <c r="E24" s="247"/>
      <c r="F24" s="247"/>
      <c r="G24" s="247"/>
      <c r="H24" s="247"/>
      <c r="I24" s="247"/>
      <c r="J24" s="247"/>
    </row>
    <row r="25" spans="1:10" ht="48" customHeight="1" x14ac:dyDescent="0.3">
      <c r="A25" s="16" t="s">
        <v>979</v>
      </c>
      <c r="B25" s="247" t="s">
        <v>980</v>
      </c>
      <c r="C25" s="247"/>
      <c r="D25" s="247"/>
      <c r="E25" s="247"/>
      <c r="F25" s="247"/>
      <c r="G25" s="247"/>
      <c r="H25" s="247"/>
      <c r="I25" s="247"/>
      <c r="J25" s="247"/>
    </row>
    <row r="26" spans="1:10" ht="48" customHeight="1" x14ac:dyDescent="0.3">
      <c r="A26" s="16" t="s">
        <v>981</v>
      </c>
      <c r="B26" s="247" t="s">
        <v>982</v>
      </c>
      <c r="C26" s="247"/>
      <c r="D26" s="247"/>
      <c r="E26" s="247"/>
      <c r="F26" s="247"/>
      <c r="G26" s="247"/>
      <c r="H26" s="247"/>
      <c r="I26" s="247"/>
      <c r="J26" s="247"/>
    </row>
    <row r="27" spans="1:10" ht="48" customHeight="1" x14ac:dyDescent="0.3">
      <c r="A27" s="16" t="s">
        <v>386</v>
      </c>
      <c r="B27" s="247" t="s">
        <v>983</v>
      </c>
      <c r="C27" s="247"/>
      <c r="D27" s="247"/>
      <c r="E27" s="247"/>
      <c r="F27" s="247"/>
      <c r="G27" s="247"/>
      <c r="H27" s="247"/>
      <c r="I27" s="247"/>
      <c r="J27" s="247"/>
    </row>
    <row r="29" spans="1:10" ht="18" customHeight="1" x14ac:dyDescent="0.3">
      <c r="A29" s="210" t="s">
        <v>984</v>
      </c>
      <c r="B29" s="210"/>
      <c r="C29" s="210"/>
      <c r="D29" s="210"/>
      <c r="E29" s="210"/>
      <c r="F29" s="210"/>
      <c r="G29" s="210"/>
      <c r="H29" s="210"/>
      <c r="I29" s="210"/>
      <c r="J29" s="210"/>
    </row>
    <row r="30" spans="1:10" ht="48" customHeight="1" x14ac:dyDescent="0.3">
      <c r="A30" s="16" t="s">
        <v>985</v>
      </c>
      <c r="B30" s="247" t="s">
        <v>986</v>
      </c>
      <c r="C30" s="247"/>
      <c r="D30" s="247"/>
      <c r="E30" s="247"/>
      <c r="F30" s="247"/>
      <c r="G30" s="247"/>
      <c r="H30" s="247"/>
      <c r="I30" s="247"/>
      <c r="J30" s="247"/>
    </row>
    <row r="31" spans="1:10" ht="48" customHeight="1" x14ac:dyDescent="0.3">
      <c r="A31" s="16" t="s">
        <v>987</v>
      </c>
      <c r="B31" s="247" t="s">
        <v>988</v>
      </c>
      <c r="C31" s="247"/>
      <c r="D31" s="247"/>
      <c r="E31" s="247"/>
      <c r="F31" s="247"/>
      <c r="G31" s="247"/>
      <c r="H31" s="247"/>
      <c r="I31" s="247"/>
      <c r="J31" s="247"/>
    </row>
    <row r="32" spans="1:10" ht="48" customHeight="1" x14ac:dyDescent="0.3">
      <c r="A32" s="16" t="s">
        <v>989</v>
      </c>
      <c r="B32" s="247" t="s">
        <v>990</v>
      </c>
      <c r="C32" s="247"/>
      <c r="D32" s="247"/>
      <c r="E32" s="247"/>
      <c r="F32" s="247"/>
      <c r="G32" s="247"/>
      <c r="H32" s="247"/>
      <c r="I32" s="247"/>
      <c r="J32" s="247"/>
    </row>
    <row r="33" spans="1:10" ht="48" customHeight="1" x14ac:dyDescent="0.3">
      <c r="A33" s="16" t="s">
        <v>991</v>
      </c>
      <c r="B33" s="247" t="s">
        <v>992</v>
      </c>
      <c r="C33" s="247"/>
      <c r="D33" s="247"/>
      <c r="E33" s="247"/>
      <c r="F33" s="247"/>
      <c r="G33" s="247"/>
      <c r="H33" s="247"/>
      <c r="I33" s="247"/>
      <c r="J33" s="247"/>
    </row>
    <row r="34" spans="1:10" ht="48" customHeight="1" x14ac:dyDescent="0.3">
      <c r="A34" s="16" t="s">
        <v>993</v>
      </c>
      <c r="B34" s="247" t="s">
        <v>994</v>
      </c>
      <c r="C34" s="247"/>
      <c r="D34" s="247"/>
      <c r="E34" s="247"/>
      <c r="F34" s="247"/>
      <c r="G34" s="247"/>
      <c r="H34" s="247"/>
      <c r="I34" s="247"/>
      <c r="J34" s="247"/>
    </row>
    <row r="35" spans="1:10" ht="48" customHeight="1" x14ac:dyDescent="0.3">
      <c r="A35" s="16" t="s">
        <v>995</v>
      </c>
      <c r="B35" s="247" t="s">
        <v>996</v>
      </c>
      <c r="C35" s="247"/>
      <c r="D35" s="247"/>
      <c r="E35" s="247"/>
      <c r="F35" s="247"/>
      <c r="G35" s="247"/>
      <c r="H35" s="247"/>
      <c r="I35" s="247"/>
      <c r="J35" s="247"/>
    </row>
  </sheetData>
  <mergeCells count="31">
    <mergeCell ref="B35:J35"/>
    <mergeCell ref="B30:J30"/>
    <mergeCell ref="B31:J31"/>
    <mergeCell ref="B32:J32"/>
    <mergeCell ref="B33:J33"/>
    <mergeCell ref="B34:J34"/>
    <mergeCell ref="B24:J24"/>
    <mergeCell ref="B25:J25"/>
    <mergeCell ref="B26:J26"/>
    <mergeCell ref="B27:J27"/>
    <mergeCell ref="A29:J29"/>
    <mergeCell ref="B18:J18"/>
    <mergeCell ref="B19:J19"/>
    <mergeCell ref="B20:J20"/>
    <mergeCell ref="B21:J21"/>
    <mergeCell ref="A23:J23"/>
    <mergeCell ref="A13:J13"/>
    <mergeCell ref="B14:J14"/>
    <mergeCell ref="B15:J15"/>
    <mergeCell ref="B16:J16"/>
    <mergeCell ref="B17:J17"/>
    <mergeCell ref="B7:J7"/>
    <mergeCell ref="B8:J8"/>
    <mergeCell ref="B9:J9"/>
    <mergeCell ref="B10:J10"/>
    <mergeCell ref="B11:J11"/>
    <mergeCell ref="A1:J1"/>
    <mergeCell ref="A2:J2"/>
    <mergeCell ref="A4:J4"/>
    <mergeCell ref="B5:J5"/>
    <mergeCell ref="B6:J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Executive Summary</vt:lpstr>
      <vt:lpstr>Cost Comparison</vt:lpstr>
      <vt:lpstr>Migration Plan &amp; Costs</vt:lpstr>
      <vt:lpstr>Risks &amp; Assumptions</vt:lpstr>
      <vt:lpstr>6-Month Migration Plan</vt:lpstr>
      <vt:lpstr>Financial Model (Jun26-Dec30)</vt:lpstr>
      <vt:lpstr>Architecture &amp; Connectivity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2026-03-25T19:58:57Z</dcterms:created>
  <dcterms:modified xsi:type="dcterms:W3CDTF">2026-03-26T00:59:57Z</dcterms:modified>
  <dc:language>en-US</dc:language>
</cp:coreProperties>
</file>