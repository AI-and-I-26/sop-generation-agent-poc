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hit\Downloads\"/>
    </mc:Choice>
  </mc:AlternateContent>
  <xr:revisionPtr revIDLastSave="0" documentId="8_{208FCDDA-F03F-4DB4-BD82-8A7D1D8CDDCB}" xr6:coauthVersionLast="47" xr6:coauthVersionMax="47" xr10:uidLastSave="{00000000-0000-0000-0000-000000000000}"/>
  <bookViews>
    <workbookView xWindow="-108" yWindow="-108" windowWidth="23256" windowHeight="13896" tabRatio="500" firstSheet="2" activeTab="4" xr2:uid="{00000000-000D-0000-FFFF-FFFF00000000}"/>
  </bookViews>
  <sheets>
    <sheet name="Executive Summary" sheetId="1" r:id="rId1"/>
    <sheet name="Cost Comparison" sheetId="2" r:id="rId2"/>
    <sheet name="Migration Plan &amp; Costs" sheetId="3" r:id="rId3"/>
    <sheet name="Architecture &amp; Connectivity" sheetId="4" r:id="rId4"/>
    <sheet name="3-Year Financial Model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7" i="5" l="1"/>
  <c r="F46" i="5"/>
  <c r="D46" i="5"/>
  <c r="C46" i="5"/>
  <c r="B46" i="5"/>
  <c r="C45" i="5"/>
  <c r="B45" i="5"/>
  <c r="D45" i="5" s="1"/>
  <c r="F45" i="5" s="1"/>
  <c r="E44" i="5"/>
  <c r="D44" i="5"/>
  <c r="C44" i="5"/>
  <c r="C47" i="5" s="1"/>
  <c r="B44" i="5"/>
  <c r="B47" i="5" s="1"/>
  <c r="G40" i="5"/>
  <c r="F40" i="5"/>
  <c r="D40" i="5"/>
  <c r="G39" i="5"/>
  <c r="F39" i="5"/>
  <c r="D39" i="5"/>
  <c r="G38" i="5"/>
  <c r="F38" i="5"/>
  <c r="D38" i="5"/>
  <c r="G37" i="5"/>
  <c r="F37" i="5"/>
  <c r="D37" i="5"/>
  <c r="G36" i="5"/>
  <c r="F36" i="5"/>
  <c r="D36" i="5"/>
  <c r="G35" i="5"/>
  <c r="F35" i="5"/>
  <c r="D35" i="5"/>
  <c r="G34" i="5"/>
  <c r="F34" i="5"/>
  <c r="D34" i="5"/>
  <c r="G33" i="5"/>
  <c r="F33" i="5"/>
  <c r="D33" i="5"/>
  <c r="G32" i="5"/>
  <c r="F32" i="5"/>
  <c r="D32" i="5"/>
  <c r="G31" i="5"/>
  <c r="F31" i="5"/>
  <c r="D31" i="5"/>
  <c r="G30" i="5"/>
  <c r="F30" i="5"/>
  <c r="D30" i="5"/>
  <c r="G29" i="5"/>
  <c r="H32" i="5" s="1"/>
  <c r="J32" i="5" s="1"/>
  <c r="F29" i="5"/>
  <c r="D29" i="5"/>
  <c r="G28" i="5"/>
  <c r="F28" i="5"/>
  <c r="D28" i="5"/>
  <c r="G27" i="5"/>
  <c r="F27" i="5"/>
  <c r="D27" i="5"/>
  <c r="G26" i="5"/>
  <c r="F26" i="5"/>
  <c r="D26" i="5"/>
  <c r="G25" i="5"/>
  <c r="F25" i="5"/>
  <c r="D25" i="5"/>
  <c r="G24" i="5"/>
  <c r="F24" i="5"/>
  <c r="D24" i="5"/>
  <c r="G23" i="5"/>
  <c r="F23" i="5"/>
  <c r="D23" i="5"/>
  <c r="G22" i="5"/>
  <c r="F22" i="5"/>
  <c r="D22" i="5"/>
  <c r="G21" i="5"/>
  <c r="F21" i="5"/>
  <c r="D21" i="5"/>
  <c r="G20" i="5"/>
  <c r="F20" i="5"/>
  <c r="D20" i="5"/>
  <c r="G19" i="5"/>
  <c r="F19" i="5"/>
  <c r="D19" i="5"/>
  <c r="G18" i="5"/>
  <c r="F18" i="5"/>
  <c r="D18" i="5"/>
  <c r="G17" i="5"/>
  <c r="F17" i="5"/>
  <c r="D17" i="5"/>
  <c r="G16" i="5"/>
  <c r="F16" i="5"/>
  <c r="D16" i="5"/>
  <c r="G15" i="5"/>
  <c r="F15" i="5"/>
  <c r="D15" i="5"/>
  <c r="G14" i="5"/>
  <c r="F14" i="5"/>
  <c r="D14" i="5"/>
  <c r="G13" i="5"/>
  <c r="H16" i="5" s="1"/>
  <c r="J16" i="5" s="1"/>
  <c r="F13" i="5"/>
  <c r="D13" i="5"/>
  <c r="G12" i="5"/>
  <c r="F12" i="5"/>
  <c r="D12" i="5"/>
  <c r="G11" i="5"/>
  <c r="F11" i="5"/>
  <c r="D11" i="5"/>
  <c r="H10" i="5"/>
  <c r="J10" i="5" s="1"/>
  <c r="G10" i="5"/>
  <c r="F10" i="5"/>
  <c r="D10" i="5"/>
  <c r="G9" i="5"/>
  <c r="F9" i="5"/>
  <c r="D9" i="5"/>
  <c r="G8" i="5"/>
  <c r="F8" i="5"/>
  <c r="D8" i="5"/>
  <c r="G7" i="5"/>
  <c r="H34" i="5" s="1"/>
  <c r="J34" i="5" s="1"/>
  <c r="F7" i="5"/>
  <c r="D7" i="5"/>
  <c r="H6" i="5"/>
  <c r="J6" i="5" s="1"/>
  <c r="G6" i="5"/>
  <c r="F6" i="5"/>
  <c r="D6" i="5"/>
  <c r="H5" i="5"/>
  <c r="J5" i="5" s="1"/>
  <c r="G5" i="5"/>
  <c r="H31" i="5" s="1"/>
  <c r="J31" i="5" s="1"/>
  <c r="F5" i="5"/>
  <c r="D5" i="5"/>
  <c r="E43" i="3"/>
  <c r="D27" i="3"/>
  <c r="D36" i="3" s="1"/>
  <c r="E36" i="3" s="1"/>
  <c r="D26" i="3"/>
  <c r="D35" i="3" s="1"/>
  <c r="E35" i="3" s="1"/>
  <c r="D25" i="3"/>
  <c r="D34" i="3" s="1"/>
  <c r="E34" i="3" s="1"/>
  <c r="D24" i="3"/>
  <c r="D33" i="3" s="1"/>
  <c r="H19" i="3"/>
  <c r="E41" i="3" s="1"/>
  <c r="E11" i="3"/>
  <c r="C11" i="3"/>
  <c r="C10" i="3"/>
  <c r="E10" i="3" s="1"/>
  <c r="E9" i="3"/>
  <c r="C9" i="3"/>
  <c r="C8" i="3"/>
  <c r="E8" i="3" s="1"/>
  <c r="C7" i="3"/>
  <c r="E7" i="3" s="1"/>
  <c r="E12" i="3" s="1"/>
  <c r="E40" i="3" s="1"/>
  <c r="B22" i="2"/>
  <c r="B23" i="2" s="1"/>
  <c r="B20" i="2"/>
  <c r="K17" i="2"/>
  <c r="J17" i="2"/>
  <c r="L17" i="2" s="1"/>
  <c r="I17" i="2"/>
  <c r="B21" i="2" s="1"/>
  <c r="H17" i="2"/>
  <c r="G17" i="2"/>
  <c r="F17" i="2"/>
  <c r="E17" i="2"/>
  <c r="D17" i="2"/>
  <c r="C17" i="2"/>
  <c r="B17" i="2"/>
  <c r="J9" i="2"/>
  <c r="J8" i="2"/>
  <c r="J7" i="2"/>
  <c r="J6" i="2"/>
  <c r="F15" i="1"/>
  <c r="E15" i="1"/>
  <c r="D15" i="1"/>
  <c r="C15" i="1"/>
  <c r="D47" i="5" l="1"/>
  <c r="H12" i="5"/>
  <c r="J12" i="5" s="1"/>
  <c r="H28" i="5"/>
  <c r="J28" i="5" s="1"/>
  <c r="F24" i="3"/>
  <c r="H9" i="5"/>
  <c r="J9" i="5" s="1"/>
  <c r="H25" i="5"/>
  <c r="J25" i="5" s="1"/>
  <c r="F44" i="5"/>
  <c r="H22" i="5"/>
  <c r="J22" i="5" s="1"/>
  <c r="H38" i="5"/>
  <c r="J38" i="5" s="1"/>
  <c r="F25" i="3"/>
  <c r="H19" i="5"/>
  <c r="J19" i="5" s="1"/>
  <c r="H35" i="5"/>
  <c r="J35" i="5" s="1"/>
  <c r="F26" i="3"/>
  <c r="H13" i="5"/>
  <c r="J13" i="5" s="1"/>
  <c r="H29" i="5"/>
  <c r="J29" i="5" s="1"/>
  <c r="H26" i="5"/>
  <c r="J26" i="5" s="1"/>
  <c r="H23" i="5"/>
  <c r="J23" i="5" s="1"/>
  <c r="H39" i="5"/>
  <c r="J39" i="5" s="1"/>
  <c r="H20" i="5"/>
  <c r="J20" i="5" s="1"/>
  <c r="H36" i="5"/>
  <c r="J36" i="5" s="1"/>
  <c r="F27" i="3"/>
  <c r="H7" i="5"/>
  <c r="J7" i="5" s="1"/>
  <c r="H17" i="5"/>
  <c r="J17" i="5" s="1"/>
  <c r="H33" i="5"/>
  <c r="J33" i="5" s="1"/>
  <c r="H14" i="5"/>
  <c r="J14" i="5" s="1"/>
  <c r="H30" i="5"/>
  <c r="J30" i="5" s="1"/>
  <c r="H11" i="5"/>
  <c r="J11" i="5" s="1"/>
  <c r="H27" i="5"/>
  <c r="J27" i="5" s="1"/>
  <c r="H8" i="5"/>
  <c r="J8" i="5" s="1"/>
  <c r="H24" i="5"/>
  <c r="J24" i="5" s="1"/>
  <c r="H40" i="5"/>
  <c r="J40" i="5" s="1"/>
  <c r="H21" i="5"/>
  <c r="J21" i="5" s="1"/>
  <c r="H37" i="5"/>
  <c r="J37" i="5" s="1"/>
  <c r="H18" i="5"/>
  <c r="J18" i="5" s="1"/>
  <c r="H15" i="5"/>
  <c r="J15" i="5" s="1"/>
  <c r="F47" i="5" l="1"/>
  <c r="G44" i="5"/>
  <c r="F28" i="3"/>
  <c r="E42" i="3" s="1"/>
  <c r="E44" i="3" l="1"/>
  <c r="E45" i="3"/>
  <c r="E48" i="3" s="1"/>
  <c r="E52" i="3" l="1"/>
  <c r="E51" i="3"/>
  <c r="E50" i="3"/>
</calcChain>
</file>

<file path=xl/sharedStrings.xml><?xml version="1.0" encoding="utf-8"?>
<sst xmlns="http://schemas.openxmlformats.org/spreadsheetml/2006/main" count="339" uniqueCount="295">
  <si>
    <t>HUBSTOR → AWS S3 MIGRATION  |  BUSINESS CASE &amp; COST ANALYSIS</t>
  </si>
  <si>
    <t>Prepared for Internal Review  |  Based on HubStor Master Report v5  |  March 2026</t>
  </si>
  <si>
    <t>CURRENT STATE</t>
  </si>
  <si>
    <t>PROJECTED AWS COST</t>
  </si>
  <si>
    <t>ANNUAL SAVINGS</t>
  </si>
  <si>
    <t>MIGRATION PAYBACK</t>
  </si>
  <si>
    <t>$35,523 /mo</t>
  </si>
  <si>
    <t>~$8,200 /mo</t>
  </si>
  <si>
    <t>~$329K /yr</t>
  </si>
  <si>
    <t>&lt; 4 months</t>
  </si>
  <si>
    <t>426K/yr  |  1,042 TiB total  |  5 regions</t>
  </si>
  <si>
    <t>~98K/yr  |  Same tier mapping  |  No HubStor fee</t>
  </si>
  <si>
    <t>77% cost reduction  |  Exceeds $100K target</t>
  </si>
  <si>
    <t>One-time migration cost ~$12K</t>
  </si>
  <si>
    <t>CURRENT HUBSTOR COSTS BY REGION (Azure)</t>
  </si>
  <si>
    <t>Azure Region</t>
  </si>
  <si>
    <t>Location</t>
  </si>
  <si>
    <t>Total Usage (GiB)</t>
  </si>
  <si>
    <t>Storage Cost/mo</t>
  </si>
  <si>
    <t>Non-Storage Cost/mo</t>
  </si>
  <si>
    <t>Total Cost/mo</t>
  </si>
  <si>
    <t>EastUS2</t>
  </si>
  <si>
    <t>Virginia, USA</t>
  </si>
  <si>
    <t>GermanyWestCentral</t>
  </si>
  <si>
    <t>Frankfurt, Germany</t>
  </si>
  <si>
    <t>UKSouth</t>
  </si>
  <si>
    <t>London, UK</t>
  </si>
  <si>
    <t>WestEurope</t>
  </si>
  <si>
    <t>Amsterdam, Netherlands</t>
  </si>
  <si>
    <t>WestUS2</t>
  </si>
  <si>
    <t>Washington, USA</t>
  </si>
  <si>
    <t>GRAND TOTAL</t>
  </si>
  <si>
    <t>All 5 Azure Regions</t>
  </si>
  <si>
    <t>CURRENT STORAGE BY AZURE TIER</t>
  </si>
  <si>
    <t>Azure Tier</t>
  </si>
  <si>
    <t>Equiv. AWS Class</t>
  </si>
  <si>
    <t>Usage (GiB)</t>
  </si>
  <si>
    <t>Usage (TiB)</t>
  </si>
  <si>
    <t>% of Total</t>
  </si>
  <si>
    <t>Azure $/GB/mo</t>
  </si>
  <si>
    <t>Standard</t>
  </si>
  <si>
    <t>S3 Standard</t>
  </si>
  <si>
    <t>$0.020</t>
  </si>
  <si>
    <t>Hot</t>
  </si>
  <si>
    <t>Cool</t>
  </si>
  <si>
    <t>S3 Standard-IA</t>
  </si>
  <si>
    <t>$0.015</t>
  </si>
  <si>
    <t>Cold</t>
  </si>
  <si>
    <t>S3 Glacier Instant Retrieval</t>
  </si>
  <si>
    <t>$0.010</t>
  </si>
  <si>
    <t>Archive</t>
  </si>
  <si>
    <t>S3 Glacier Deep Archive</t>
  </si>
  <si>
    <t>$0.002</t>
  </si>
  <si>
    <t>TOTAL</t>
  </si>
  <si>
    <t>AZURE HUBSTOR vs AWS S3 — DETAILED COST COMPARISON MODEL</t>
  </si>
  <si>
    <t>Azure pricing based on HubStor Master Report v5 actuals  |  AWS pricing based on US-East-1 / EU-West-1 list rates (2026)  |  Blue cells = inputs</t>
  </si>
  <si>
    <t>KEY PRICING ASSUMPTIONS</t>
  </si>
  <si>
    <t>Storage Class</t>
  </si>
  <si>
    <t>AWS Class</t>
  </si>
  <si>
    <t>AWS $/GB/mo (US)</t>
  </si>
  <si>
    <t>AWS $/GB/mo (EU)</t>
  </si>
  <si>
    <t>Retrieval $/GB</t>
  </si>
  <si>
    <t>Min Duration</t>
  </si>
  <si>
    <t>HubStor Mgmt Fee %</t>
  </si>
  <si>
    <t>HubStor Fee on Storage</t>
  </si>
  <si>
    <t>AWS Equiv Fee</t>
  </si>
  <si>
    <t>Notes</t>
  </si>
  <si>
    <t>Standard/Hot Active</t>
  </si>
  <si>
    <t>Standard / Hot</t>
  </si>
  <si>
    <t>None</t>
  </si>
  <si>
    <t>HubStor charges ~18% mgmt on storage</t>
  </si>
  <si>
    <t>Cool / Infrequent</t>
  </si>
  <si>
    <t>30d</t>
  </si>
  <si>
    <t>IA has retrieval fees; add for heavy use</t>
  </si>
  <si>
    <t>Cold / Glacier IR</t>
  </si>
  <si>
    <t>90d</t>
  </si>
  <si>
    <t>2.5x cheaper; millisecond retrieval</t>
  </si>
  <si>
    <t>180d</t>
  </si>
  <si>
    <t>Dominant tier—biggest saving 83%</t>
  </si>
  <si>
    <t>MONTHLY COST COMPARISON — BY STORAGE TIER</t>
  </si>
  <si>
    <t>Tier</t>
  </si>
  <si>
    <t>Azure Storage $/mo</t>
  </si>
  <si>
    <t>HubStor Mgmt $/mo</t>
  </si>
  <si>
    <t>Azure Total $/mo</t>
  </si>
  <si>
    <t>AWS Storage $/mo</t>
  </si>
  <si>
    <t>AWS Non-Storage $/mo</t>
  </si>
  <si>
    <t>AWS Total $/mo</t>
  </si>
  <si>
    <t>Monthly Saving $</t>
  </si>
  <si>
    <t>Annual Saving $</t>
  </si>
  <si>
    <t>% Reduction</t>
  </si>
  <si>
    <t>ANNUAL SUMMARY</t>
  </si>
  <si>
    <t>Current Annual Cost (HubStor)</t>
  </si>
  <si>
    <t>Projected Annual Cost (AWS S3)</t>
  </si>
  <si>
    <t>Annual Savings</t>
  </si>
  <si>
    <t>% Cost Reduction</t>
  </si>
  <si>
    <t>ONE-TIME MIGRATION COSTS — COMPLETE ITEMIZED BREAKDOWN</t>
  </si>
  <si>
    <t>Based on 1,041.7 TiB total  |  All costs are one-time only  |  Blue cells = adjustable inputs  |  Direct-to-S3 via public internet (NOT via VPN)</t>
  </si>
  <si>
    <t>COST COMPONENT 1 — AZURE RETRIEVAL CHARGES  (Reading data out of Azure Blob before egress)</t>
  </si>
  <si>
    <t>ℹ  Standard/Hot tiers: No retrieval fee (read-at-will). Cool, Cold, Archive incur per-GB retrieval/rehydration charges. Archive must be rehydrated before egress — this is the largest retrieval cost.</t>
  </si>
  <si>
    <t>Volume (GiB)</t>
  </si>
  <si>
    <t>Volume (GB)</t>
  </si>
  <si>
    <t>Retrieval Rate ($/GB)</t>
  </si>
  <si>
    <t>Retrieval Cost ($)</t>
  </si>
  <si>
    <t>No charge — read freely</t>
  </si>
  <si>
    <t>Per-GB read charge</t>
  </si>
  <si>
    <t>Standard rehydration (~15hr)</t>
  </si>
  <si>
    <t>SUBTOTAL — AZURE RETRIEVAL</t>
  </si>
  <si>
    <t>COST COMPONENT 2 — AZURE EGRESS CHARGES  (Data leaving Azure via internet, direct to S3 public endpoint)</t>
  </si>
  <si>
    <t>ℹ  Traffic routes direct to S3 public endpoints — NOT via VPN/Direct Connect, which would add AWS transit/inspection charges. Azure egress is tiered: cheaper per-GB as volume rises.</t>
  </si>
  <si>
    <t>Region Group</t>
  </si>
  <si>
    <t>First 100GB Free</t>
  </si>
  <si>
    <t>Tier 1: ≤10TB ($/GB)</t>
  </si>
  <si>
    <t>Tier 2: 10-50TB ($/GB)</t>
  </si>
  <si>
    <t>Tier 3: 50-150TB ($/GB)</t>
  </si>
  <si>
    <t>Tier 4: &gt;150TB ($/GB)</t>
  </si>
  <si>
    <t>Egress Cost ($)</t>
  </si>
  <si>
    <t>US Regions (EastUS2 + WestUS2)</t>
  </si>
  <si>
    <t>100 GB</t>
  </si>
  <si>
    <t>Virginia, Washington state → AWS us-east-1 / us-west-2</t>
  </si>
  <si>
    <t>EU Regions (UKSouth + WestEurope + GermanyWestCentral)</t>
  </si>
  <si>
    <t>London, Amsterdam, Frankfurt → AWS eu-west-2 / eu-west-1 / eu-central-1</t>
  </si>
  <si>
    <t>SUBTOTAL — AZURE EGRESS</t>
  </si>
  <si>
    <t>COST COMPONENT 3 — AWS S3 PUT REQUEST CHARGES  (Internet ingress to AWS is free; S3 API calls are not)</t>
  </si>
  <si>
    <t>ℹ  PUT cost depends heavily on number of objects. Deep Archive PUT = $0.05/1K (10× more than Standard). Recommend measuring avg file size from HubStor before migration to refine estimate.</t>
  </si>
  <si>
    <t>Avg File Size (MB) ←INPUT</t>
  </si>
  <si>
    <t>Est. Object Count</t>
  </si>
  <si>
    <t>PUT Rate ($/1K requests)</t>
  </si>
  <si>
    <t>PUT Cost ($)</t>
  </si>
  <si>
    <t>S3 Standard (Hot/Standard)</t>
  </si>
  <si>
    <t>Low avg size for active files</t>
  </si>
  <si>
    <t>S3 Standard-IA (Cool)</t>
  </si>
  <si>
    <t>$0.01/1K — IA has higher request costs</t>
  </si>
  <si>
    <t>S3 Glacier Instant Retrieval (Cold)</t>
  </si>
  <si>
    <t>Treated as standard PUT class</t>
  </si>
  <si>
    <t>S3 Glacier Deep Archive (Archive)</t>
  </si>
  <si>
    <t>⚠  $0.05/1K — 10× Standard rate. File size assumption critical.</t>
  </si>
  <si>
    <t>SUBTOTAL — S3 PUT REQUESTS</t>
  </si>
  <si>
    <t>COST COMPONENT 4 — POST-INGESTION TIERING / LIFECYCLE TRANSITION CHARGES</t>
  </si>
  <si>
    <t>ℹ  If data PUTs land in S3 Standard first and then transition via lifecycle rules, each transition incurs a per-request charge. BEST PRACTICE: PUT directly into target storage class using --storage-class flag in DataSync/CLI. This reduces this cost to $0.</t>
  </si>
  <si>
    <t>Scenario</t>
  </si>
  <si>
    <t>Target Class</t>
  </si>
  <si>
    <t>Transition Rate ($/1K)</t>
  </si>
  <si>
    <t>Object Count</t>
  </si>
  <si>
    <t>Transition Cost ($)</t>
  </si>
  <si>
    <t>Recommendation</t>
  </si>
  <si>
    <t>OPTION A: PUT directly into target class (recommended)</t>
  </si>
  <si>
    <t>All classes</t>
  </si>
  <si>
    <t>✅ Set --storage-class on DataSync job per bucket. Zero transition cost.</t>
  </si>
  <si>
    <t>OPTION B: Land in Standard, transition to Standard-IA</t>
  </si>
  <si>
    <t>Standard-IA</t>
  </si>
  <si>
    <t>Transition charge applies — avoid by using Option A above</t>
  </si>
  <si>
    <t>OPTION B: Land in Standard, transition to Glacier IR</t>
  </si>
  <si>
    <t>Glacier IR</t>
  </si>
  <si>
    <t>OPTION B: Land in Standard, transition to Deep Archive</t>
  </si>
  <si>
    <t>Deep Archive</t>
  </si>
  <si>
    <t>⚠ Most expensive — must avoid for 882 TiB Archive data</t>
  </si>
  <si>
    <t>TOTAL ONE-TIME MIGRATION COST SUMMARY</t>
  </si>
  <si>
    <t>1.  Azure Retrieval Charges</t>
  </si>
  <si>
    <t>2.  Azure Egress Charges</t>
  </si>
  <si>
    <t>3.  AWS S3 PUT Requests</t>
  </si>
  <si>
    <t>4.  Post-Ingestion Tiering</t>
  </si>
  <si>
    <t xml:space="preserve">    Contingency (10%)</t>
  </si>
  <si>
    <t>★  GRAND TOTAL — ONE-TIME MIGRATION COST</t>
  </si>
  <si>
    <t>ROI &amp; PAYBACK</t>
  </si>
  <si>
    <t>Total One-Time Migration Cost</t>
  </si>
  <si>
    <t>Monthly Saving (Azure - AWS, estimated)</t>
  </si>
  <si>
    <t>27388</t>
  </si>
  <si>
    <t>Payback Period (months)</t>
  </si>
  <si>
    <t>Year 1 Net Saving (Saving - Migration)</t>
  </si>
  <si>
    <t>3-Year Total Net Saving</t>
  </si>
  <si>
    <t>PUT COST SENSITIVITY — Archive Tier (Most Critical Variable  |  Yellow cells = change assumptions above and these update)</t>
  </si>
  <si>
    <t>Avg Archive File Size</t>
  </si>
  <si>
    <t>PUT Cost @ $0.05/1K</t>
  </si>
  <si>
    <t>Total Migration Cost (approx.)</t>
  </si>
  <si>
    <t>vs. Base Case Diff</t>
  </si>
  <si>
    <t>Impact</t>
  </si>
  <si>
    <t xml:space="preserve">1 MB </t>
  </si>
  <si>
    <t>High risk</t>
  </si>
  <si>
    <t xml:space="preserve">10 MB </t>
  </si>
  <si>
    <t xml:space="preserve">50 MB </t>
  </si>
  <si>
    <t>Moderate</t>
  </si>
  <si>
    <t xml:space="preserve">100 MB </t>
  </si>
  <si>
    <t>Low risk</t>
  </si>
  <si>
    <t xml:space="preserve">250 MB </t>
  </si>
  <si>
    <t>500 MB ← BASE CASE</t>
  </si>
  <si>
    <t xml:space="preserve">1000 MB </t>
  </si>
  <si>
    <t xml:space="preserve">2000 MB </t>
  </si>
  <si>
    <t>AWS S3 TARGET ARCHITECTURE — CONNECTIVITY &amp; ACCESS DESIGN</t>
  </si>
  <si>
    <t>STORAGE GATEWAY: HOW SITES CONNECT TO S3</t>
  </si>
  <si>
    <t>Pattern</t>
  </si>
  <si>
    <t>AWS S3 File Gateway (NFS/SMB)  →  replaces HubStor connector agent at each site</t>
  </si>
  <si>
    <t>What it is</t>
  </si>
  <si>
    <t>A VM (VMware / Hyper-V / KVM) deployed on-prem at each site that presents NFS/SMB shares. Data written to those shares is automatically uploaded to S3 as objects.</t>
  </si>
  <si>
    <t>Archiving flow</t>
  </si>
  <si>
    <t>Application or user saves file to Gateway share  →  Gateway caches locally  →  Compresses &amp; uploads to S3 bucket  →  File is accessible via same share (cached)</t>
  </si>
  <si>
    <t>Retrieval flow</t>
  </si>
  <si>
    <t>User requests file from Gateway share  →  Gateway checks local cache  →  If not cached, fetches from S3  →  Returns file to user</t>
  </si>
  <si>
    <t>Per-site VMs</t>
  </si>
  <si>
    <t>5 sites need a Gateway VM: WLM (WestUS2), RNO (WestUS2), MWN/Williamsport (EastUS2), UK sites, EU sites. 1 Gateway can serve multiple connectors per site.</t>
  </si>
  <si>
    <t>Bandwidth</t>
  </si>
  <si>
    <t>Use AWS DataSync for initial bulk migration (dedicated transfer). Post-migration, Gateway handles incremental archive writes only.</t>
  </si>
  <si>
    <t>S3 BUCKET STRATEGY</t>
  </si>
  <si>
    <t>Bucket per region</t>
  </si>
  <si>
    <t>Create 1 bucket per AWS region matching existing Azure region (us-east-1, us-west-2, eu-west-2 UK, eu-west-1 NL, eu-central-1 DE)</t>
  </si>
  <si>
    <t>Prefix structure</t>
  </si>
  <si>
    <t>s3://company-archive-{region}/{site}-{storname}/{year}/{month}/</t>
  </si>
  <si>
    <t>Lifecycle rules</t>
  </si>
  <si>
    <t>All objects: Day 0 → S3 Standard-IA (cool data stays here) | Archive tier → S3 Glacier Deep Archive immediately on upload</t>
  </si>
  <si>
    <t>Object Lock</t>
  </si>
  <si>
    <t>Enable S3 Object Lock (Compliance mode) for GxP/regulatory data — immutable for defined retention period</t>
  </si>
  <si>
    <t>Versioning</t>
  </si>
  <si>
    <t>Enable versioning on compliance buckets only; disable for pure archive to avoid cost accumulation</t>
  </si>
  <si>
    <t>Encryption</t>
  </si>
  <si>
    <t>SSE-S3 (AES-256) at no extra cost; upgrade to SSE-KMS if key management needed</t>
  </si>
  <si>
    <t>CONNECTIVITY OPTIONS BY SCENARIO</t>
  </si>
  <si>
    <t>Option A — Internet + TLS (Recommended for most sites)</t>
  </si>
  <si>
    <t>File Gateway VM uploads to S3 over HTTPS/TLS. Data encrypted in transit. No additional networking cost. Suitable for sites with reliable internet (all current sites).</t>
  </si>
  <si>
    <t>Option B — AWS Direct Connect (Optional premium)</t>
  </si>
  <si>
    <t>If sites already have Direct Connect, use it for guaranteed bandwidth. Adds ~$0.02/GB data transfer cost but eliminates public internet dependency. Not required.</t>
  </si>
  <si>
    <t>Option C — Site-to-Site VPN to AWS</t>
  </si>
  <si>
    <t>Lower cost than Direct Connect (~$0.05/hr VPN + data). Good for highest-security requirements. Can be added later.</t>
  </si>
  <si>
    <t>Start with Option A (HTTPS/TLS via Gateway). All data is encrypted. Monitor transfer speeds. Add Direct Connect only if bandwidth becomes a constraint.</t>
  </si>
  <si>
    <t>REGION MAPPING: AZURE → AWS</t>
  </si>
  <si>
    <t>Azure EastUS2 (Virginia)</t>
  </si>
  <si>
    <t>→  AWS us-east-1 (N. Virginia)  |  Sites: MWN, WLM, Safety Assessment East</t>
  </si>
  <si>
    <t>Azure WestUS2 (Washington)</t>
  </si>
  <si>
    <t>→  AWS us-west-2 (Oregon)  |  Sites: RNO, Safety Assessment West</t>
  </si>
  <si>
    <t>Azure UKSouth (London)</t>
  </si>
  <si>
    <t>→  AWS eu-west-2 (London)  |  Sites: CRP, HAR, PTH, EDI — data stays in UK</t>
  </si>
  <si>
    <t>Azure WestEurope (Amsterdam)</t>
  </si>
  <si>
    <t>→  AWS eu-west-1 (Ireland)  |  Sites: LEI, HER, GRO, KUO, SZG, FRE</t>
  </si>
  <si>
    <t>Azure GermanyWestCentral</t>
  </si>
  <si>
    <t>→  AWS eu-central-1 (Frankfurt)  |  Sites: FRI — data stays in Germany for GDPR</t>
  </si>
  <si>
    <t>Data Residency Note</t>
  </si>
  <si>
    <t>All EU data remains in EU. German data remains in Germany. UK data remains in UK. No cross-border data flows introduced.</t>
  </si>
  <si>
    <t>3-YEAR FINANCIAL MODEL — HUBSTOR vs AWS S3 TCO COMPARISON</t>
  </si>
  <si>
    <t>Assumption: 5% annual data growth | AWS pricing held flat (conservative) | HubStor cost held flat</t>
  </si>
  <si>
    <t>Month</t>
  </si>
  <si>
    <t>Period</t>
  </si>
  <si>
    <t>HubStor Cost ($)</t>
  </si>
  <si>
    <t>Cumulative HubStor ($)</t>
  </si>
  <si>
    <t>AWS S3 Cost ($)</t>
  </si>
  <si>
    <t>Cumulative AWS ($)</t>
  </si>
  <si>
    <t>Monthly Saving ($)</t>
  </si>
  <si>
    <t>Cumulative Saving ($)</t>
  </si>
  <si>
    <t>Migration Cost ($)</t>
  </si>
  <si>
    <t>Net Cumulative Saving ($)</t>
  </si>
  <si>
    <t>Y1M1</t>
  </si>
  <si>
    <t>Y1M2</t>
  </si>
  <si>
    <t>Y1M3</t>
  </si>
  <si>
    <t>Y1M4</t>
  </si>
  <si>
    <t>Y1M5</t>
  </si>
  <si>
    <t>Y1M6</t>
  </si>
  <si>
    <t>Y1M7</t>
  </si>
  <si>
    <t>Y1M8</t>
  </si>
  <si>
    <t>Y1M9</t>
  </si>
  <si>
    <t>Y1M10</t>
  </si>
  <si>
    <t>Y1M11</t>
  </si>
  <si>
    <t>Y1M12</t>
  </si>
  <si>
    <t>Y2M1</t>
  </si>
  <si>
    <t>Y2M2</t>
  </si>
  <si>
    <t>Y2M3</t>
  </si>
  <si>
    <t>Y2M4</t>
  </si>
  <si>
    <t>Y2M5</t>
  </si>
  <si>
    <t>Y2M6</t>
  </si>
  <si>
    <t>Y2M7</t>
  </si>
  <si>
    <t>Y2M8</t>
  </si>
  <si>
    <t>Y2M9</t>
  </si>
  <si>
    <t>Y2M10</t>
  </si>
  <si>
    <t>Y2M11</t>
  </si>
  <si>
    <t>Y2M12</t>
  </si>
  <si>
    <t>Y3M1</t>
  </si>
  <si>
    <t>Y3M2</t>
  </si>
  <si>
    <t>Y3M3</t>
  </si>
  <si>
    <t>Y3M4</t>
  </si>
  <si>
    <t>Y3M5</t>
  </si>
  <si>
    <t>Y3M6</t>
  </si>
  <si>
    <t>Y3M7</t>
  </si>
  <si>
    <t>Y3M8</t>
  </si>
  <si>
    <t>Y3M9</t>
  </si>
  <si>
    <t>Y3M10</t>
  </si>
  <si>
    <t>Y3M11</t>
  </si>
  <si>
    <t>Y3M12</t>
  </si>
  <si>
    <t>Year</t>
  </si>
  <si>
    <t>HubStor Annual</t>
  </si>
  <si>
    <t>AWS S3 Annual</t>
  </si>
  <si>
    <t>Gross Saving</t>
  </si>
  <si>
    <t>Migration Cost</t>
  </si>
  <si>
    <t>Net Saving</t>
  </si>
  <si>
    <t>ROI %</t>
  </si>
  <si>
    <t>Year 1</t>
  </si>
  <si>
    <t>Year 2</t>
  </si>
  <si>
    <t>0</t>
  </si>
  <si>
    <t>Year 3</t>
  </si>
  <si>
    <t>3-Year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</si>
</sst>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"/>
    <numFmt numFmtId="165" formatCode="\$#,##0.00"/>
    <numFmt numFmtId="166" formatCode="0.0%"/>
    <numFmt numFmtId="167" formatCode="\$0.0000"/>
    <numFmt numFmtId="168" formatCode="\$0.00000"/>
    <numFmt numFmtId="169" formatCode="\$0.000"/>
    <numFmt numFmtId="170" formatCode="\$0.00"/>
    <numFmt numFmtId="171" formatCode="\$#,##0"/>
    <numFmt numFmtId="172" formatCode="&quot;+$&quot;#,##0;&quot;-$&quot;#,##0;\$0"/>
  </numFmts>
  <fonts count="3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808080"/>
      <name val="Arial"/>
      <charset val="1"/>
    </font>
    <font>
      <b/>
      <sz val="9"/>
      <color rgb="FFFFFFFF"/>
      <name val="Arial"/>
      <charset val="1"/>
    </font>
    <font>
      <b/>
      <sz val="16"/>
      <color rgb="FF2E75B6"/>
      <name val="Arial"/>
      <charset val="1"/>
    </font>
    <font>
      <b/>
      <sz val="16"/>
      <color rgb="FF375623"/>
      <name val="Arial"/>
      <charset val="1"/>
    </font>
    <font>
      <b/>
      <sz val="16"/>
      <color rgb="FF843C0C"/>
      <name val="Arial"/>
      <charset val="1"/>
    </font>
    <font>
      <b/>
      <sz val="16"/>
      <color rgb="FF1F3864"/>
      <name val="Arial"/>
      <charset val="1"/>
    </font>
    <font>
      <sz val="8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sz val="8"/>
      <color rgb="FF666666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i/>
      <sz val="8"/>
      <color rgb="FF555555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b/>
      <sz val="9"/>
      <color rgb="FF375623"/>
      <name val="Arial"/>
      <charset val="1"/>
    </font>
    <font>
      <b/>
      <sz val="9"/>
      <color rgb="FFC00000"/>
      <name val="Arial"/>
      <charset val="1"/>
    </font>
    <font>
      <b/>
      <sz val="10"/>
      <color rgb="FF1F3864"/>
      <name val="Arial"/>
      <charset val="1"/>
    </font>
    <font>
      <b/>
      <sz val="10"/>
      <color rgb="FF375623"/>
      <name val="Arial"/>
      <charset val="1"/>
    </font>
    <font>
      <b/>
      <sz val="11"/>
      <color rgb="FFFFFF00"/>
      <name val="Arial"/>
      <charset val="1"/>
    </font>
    <font>
      <b/>
      <sz val="13"/>
      <color rgb="FFFFFF00"/>
      <name val="Arial"/>
      <charset val="1"/>
    </font>
    <font>
      <b/>
      <sz val="11"/>
      <color rgb="FF375623"/>
      <name val="Arial"/>
      <charset val="1"/>
    </font>
    <font>
      <sz val="9"/>
      <color rgb="FFC00000"/>
      <name val="Arial"/>
      <charset val="1"/>
    </font>
    <font>
      <sz val="9"/>
      <color rgb="FF375623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55555"/>
      </patternFill>
    </fill>
    <fill>
      <patternFill patternType="solid">
        <fgColor rgb="FF843C0C"/>
        <bgColor rgb="FF993366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DE7"/>
      </patternFill>
    </fill>
    <fill>
      <patternFill patternType="solid">
        <fgColor rgb="FFFFFFFF"/>
        <bgColor rgb="FFFFFDE7"/>
      </patternFill>
    </fill>
    <fill>
      <patternFill patternType="solid">
        <fgColor rgb="FFFFE0E0"/>
        <bgColor rgb="FFFCE4D6"/>
      </patternFill>
    </fill>
    <fill>
      <patternFill patternType="solid">
        <fgColor rgb="FF7030A0"/>
        <bgColor rgb="FF993366"/>
      </patternFill>
    </fill>
    <fill>
      <patternFill patternType="solid">
        <fgColor rgb="FFFFFDE7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center" wrapText="1"/>
    </xf>
    <xf numFmtId="164" fontId="10" fillId="10" borderId="3" xfId="0" applyNumberFormat="1" applyFont="1" applyFill="1" applyBorder="1" applyAlignment="1">
      <alignment horizontal="center" vertical="center" wrapText="1"/>
    </xf>
    <xf numFmtId="165" fontId="10" fillId="10" borderId="3" xfId="0" applyNumberFormat="1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left" vertical="center" wrapText="1"/>
    </xf>
    <xf numFmtId="164" fontId="10" fillId="11" borderId="3" xfId="0" applyNumberFormat="1" applyFont="1" applyFill="1" applyBorder="1" applyAlignment="1">
      <alignment horizontal="center" vertical="center" wrapText="1"/>
    </xf>
    <xf numFmtId="165" fontId="10" fillId="11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4" fontId="10" fillId="11" borderId="3" xfId="0" applyNumberFormat="1" applyFont="1" applyFill="1" applyBorder="1" applyAlignment="1">
      <alignment horizontal="center" vertical="center" wrapText="1"/>
    </xf>
    <xf numFmtId="166" fontId="10" fillId="11" borderId="3" xfId="0" applyNumberFormat="1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4" fontId="10" fillId="10" borderId="3" xfId="0" applyNumberFormat="1" applyFont="1" applyFill="1" applyBorder="1" applyAlignment="1">
      <alignment horizontal="center" vertical="center" wrapText="1"/>
    </xf>
    <xf numFmtId="166" fontId="10" fillId="10" borderId="3" xfId="0" applyNumberFormat="1" applyFont="1" applyFill="1" applyBorder="1" applyAlignment="1">
      <alignment horizontal="center" vertical="center" wrapText="1"/>
    </xf>
    <xf numFmtId="4" fontId="9" fillId="2" borderId="3" xfId="0" applyNumberFormat="1" applyFont="1" applyFill="1" applyBorder="1" applyAlignment="1">
      <alignment horizontal="center" vertical="center" wrapText="1"/>
    </xf>
    <xf numFmtId="166" fontId="9" fillId="2" borderId="3" xfId="0" applyNumberFormat="1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left" vertical="center" wrapText="1"/>
    </xf>
    <xf numFmtId="167" fontId="14" fillId="6" borderId="3" xfId="0" applyNumberFormat="1" applyFont="1" applyFill="1" applyBorder="1" applyAlignment="1">
      <alignment horizontal="center" vertical="center" wrapText="1"/>
    </xf>
    <xf numFmtId="168" fontId="14" fillId="6" borderId="3" xfId="0" applyNumberFormat="1" applyFont="1" applyFill="1" applyBorder="1" applyAlignment="1">
      <alignment horizontal="center" vertical="center" wrapText="1"/>
    </xf>
    <xf numFmtId="169" fontId="10" fillId="10" borderId="3" xfId="0" applyNumberFormat="1" applyFont="1" applyFill="1" applyBorder="1" applyAlignment="1">
      <alignment horizontal="center" vertical="center" wrapText="1"/>
    </xf>
    <xf numFmtId="9" fontId="14" fillId="9" borderId="3" xfId="0" applyNumberFormat="1" applyFont="1" applyFill="1" applyBorder="1" applyAlignment="1">
      <alignment horizontal="center" vertical="center" wrapText="1"/>
    </xf>
    <xf numFmtId="168" fontId="10" fillId="10" borderId="3" xfId="0" applyNumberFormat="1" applyFont="1" applyFill="1" applyBorder="1" applyAlignment="1">
      <alignment horizontal="center" vertical="center" wrapText="1"/>
    </xf>
    <xf numFmtId="170" fontId="10" fillId="7" borderId="3" xfId="0" applyNumberFormat="1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left" vertical="center" wrapText="1"/>
    </xf>
    <xf numFmtId="169" fontId="10" fillId="11" borderId="3" xfId="0" applyNumberFormat="1" applyFont="1" applyFill="1" applyBorder="1" applyAlignment="1">
      <alignment horizontal="center" vertical="center" wrapText="1"/>
    </xf>
    <xf numFmtId="168" fontId="10" fillId="11" borderId="3" xfId="0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left" vertical="center" wrapText="1"/>
    </xf>
    <xf numFmtId="165" fontId="10" fillId="12" borderId="3" xfId="0" applyNumberFormat="1" applyFont="1" applyFill="1" applyBorder="1" applyAlignment="1">
      <alignment horizontal="center" vertical="center" wrapText="1"/>
    </xf>
    <xf numFmtId="165" fontId="10" fillId="7" borderId="3" xfId="0" applyNumberFormat="1" applyFont="1" applyFill="1" applyBorder="1" applyAlignment="1">
      <alignment horizontal="center" vertical="center" wrapText="1"/>
    </xf>
    <xf numFmtId="165" fontId="10" fillId="9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left" vertical="center" wrapText="1"/>
    </xf>
    <xf numFmtId="164" fontId="20" fillId="6" borderId="3" xfId="0" applyNumberFormat="1" applyFont="1" applyFill="1" applyBorder="1" applyAlignment="1">
      <alignment horizontal="center" vertical="center" wrapText="1"/>
    </xf>
    <xf numFmtId="164" fontId="20" fillId="11" borderId="3" xfId="0" applyNumberFormat="1" applyFont="1" applyFill="1" applyBorder="1" applyAlignment="1">
      <alignment horizontal="center" vertical="center" wrapText="1"/>
    </xf>
    <xf numFmtId="169" fontId="21" fillId="6" borderId="3" xfId="0" applyNumberFormat="1" applyFont="1" applyFill="1" applyBorder="1" applyAlignment="1">
      <alignment horizontal="center" vertical="center" wrapText="1"/>
    </xf>
    <xf numFmtId="165" fontId="20" fillId="7" borderId="3" xfId="0" applyNumberFormat="1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left" vertical="center" wrapText="1"/>
    </xf>
    <xf numFmtId="164" fontId="20" fillId="10" borderId="3" xfId="0" applyNumberFormat="1" applyFont="1" applyFill="1" applyBorder="1" applyAlignment="1">
      <alignment horizontal="center" vertical="center" wrapText="1"/>
    </xf>
    <xf numFmtId="165" fontId="20" fillId="9" borderId="3" xfId="0" applyNumberFormat="1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left" vertical="center" wrapText="1"/>
    </xf>
    <xf numFmtId="165" fontId="9" fillId="13" borderId="3" xfId="0" applyNumberFormat="1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3" fontId="21" fillId="6" borderId="3" xfId="0" applyNumberFormat="1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165" fontId="19" fillId="12" borderId="3" xfId="0" applyNumberFormat="1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left" vertical="center" wrapText="1"/>
    </xf>
    <xf numFmtId="165" fontId="9" fillId="15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3" fontId="14" fillId="16" borderId="3" xfId="0" applyNumberFormat="1" applyFont="1" applyFill="1" applyBorder="1" applyAlignment="1">
      <alignment horizontal="center" vertical="center" wrapText="1"/>
    </xf>
    <xf numFmtId="3" fontId="20" fillId="10" borderId="3" xfId="0" applyNumberFormat="1" applyFont="1" applyFill="1" applyBorder="1" applyAlignment="1">
      <alignment horizontal="center" vertical="center" wrapText="1"/>
    </xf>
    <xf numFmtId="3" fontId="20" fillId="11" borderId="3" xfId="0" applyNumberFormat="1" applyFont="1" applyFill="1" applyBorder="1" applyAlignment="1">
      <alignment horizontal="center" vertical="center" wrapText="1"/>
    </xf>
    <xf numFmtId="165" fontId="19" fillId="9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165" fontId="9" fillId="4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left" vertical="center" wrapText="1"/>
    </xf>
    <xf numFmtId="169" fontId="20" fillId="7" borderId="3" xfId="0" applyNumberFormat="1" applyFont="1" applyFill="1" applyBorder="1" applyAlignment="1">
      <alignment horizontal="center" vertical="center" wrapText="1"/>
    </xf>
    <xf numFmtId="3" fontId="20" fillId="7" borderId="3" xfId="0" applyNumberFormat="1" applyFont="1" applyFill="1" applyBorder="1" applyAlignment="1">
      <alignment horizontal="center" vertical="center" wrapText="1"/>
    </xf>
    <xf numFmtId="165" fontId="22" fillId="7" borderId="3" xfId="0" applyNumberFormat="1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left" vertical="center" wrapText="1"/>
    </xf>
    <xf numFmtId="0" fontId="20" fillId="12" borderId="3" xfId="0" applyFont="1" applyFill="1" applyBorder="1" applyAlignment="1">
      <alignment horizontal="center" vertical="center" wrapText="1"/>
    </xf>
    <xf numFmtId="169" fontId="20" fillId="12" borderId="3" xfId="0" applyNumberFormat="1" applyFont="1" applyFill="1" applyBorder="1" applyAlignment="1">
      <alignment horizontal="center" vertical="center" wrapText="1"/>
    </xf>
    <xf numFmtId="3" fontId="20" fillId="12" borderId="3" xfId="0" applyNumberFormat="1" applyFont="1" applyFill="1" applyBorder="1" applyAlignment="1">
      <alignment horizontal="center" vertical="center" wrapText="1"/>
    </xf>
    <xf numFmtId="165" fontId="23" fillId="12" borderId="3" xfId="0" applyNumberFormat="1" applyFont="1" applyFill="1" applyBorder="1" applyAlignment="1">
      <alignment horizontal="center" vertical="center" wrapText="1"/>
    </xf>
    <xf numFmtId="165" fontId="24" fillId="9" borderId="3" xfId="0" applyNumberFormat="1" applyFont="1" applyFill="1" applyBorder="1" applyAlignment="1">
      <alignment horizontal="center" vertical="center" wrapText="1"/>
    </xf>
    <xf numFmtId="165" fontId="25" fillId="7" borderId="3" xfId="0" applyNumberFormat="1" applyFont="1" applyFill="1" applyBorder="1" applyAlignment="1">
      <alignment horizontal="center" vertical="center" wrapText="1"/>
    </xf>
    <xf numFmtId="165" fontId="27" fillId="2" borderId="4" xfId="0" applyNumberFormat="1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left" vertical="center" wrapText="1"/>
    </xf>
    <xf numFmtId="165" fontId="28" fillId="7" borderId="3" xfId="0" applyNumberFormat="1" applyFont="1" applyFill="1" applyBorder="1" applyAlignment="1">
      <alignment horizontal="center" vertical="center" wrapText="1"/>
    </xf>
    <xf numFmtId="171" fontId="28" fillId="7" borderId="3" xfId="0" applyNumberFormat="1" applyFont="1" applyFill="1" applyBorder="1" applyAlignment="1">
      <alignment horizontal="center" vertical="center" wrapText="1"/>
    </xf>
    <xf numFmtId="2" fontId="28" fillId="7" borderId="3" xfId="0" applyNumberFormat="1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left" vertical="center" wrapText="1"/>
    </xf>
    <xf numFmtId="165" fontId="20" fillId="11" borderId="3" xfId="0" applyNumberFormat="1" applyFont="1" applyFill="1" applyBorder="1" applyAlignment="1">
      <alignment horizontal="center" vertical="center" wrapText="1"/>
    </xf>
    <xf numFmtId="171" fontId="20" fillId="11" borderId="3" xfId="0" applyNumberFormat="1" applyFont="1" applyFill="1" applyBorder="1" applyAlignment="1">
      <alignment horizontal="center" vertical="center" wrapText="1"/>
    </xf>
    <xf numFmtId="172" fontId="29" fillId="11" borderId="3" xfId="0" applyNumberFormat="1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left" vertical="center" wrapText="1"/>
    </xf>
    <xf numFmtId="165" fontId="20" fillId="10" borderId="3" xfId="0" applyNumberFormat="1" applyFont="1" applyFill="1" applyBorder="1" applyAlignment="1">
      <alignment horizontal="center" vertical="center" wrapText="1"/>
    </xf>
    <xf numFmtId="171" fontId="20" fillId="10" borderId="3" xfId="0" applyNumberFormat="1" applyFont="1" applyFill="1" applyBorder="1" applyAlignment="1">
      <alignment horizontal="center" vertical="center" wrapText="1"/>
    </xf>
    <xf numFmtId="172" fontId="29" fillId="10" borderId="3" xfId="0" applyNumberFormat="1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left" vertical="center" wrapText="1"/>
    </xf>
    <xf numFmtId="3" fontId="19" fillId="16" borderId="3" xfId="0" applyNumberFormat="1" applyFont="1" applyFill="1" applyBorder="1" applyAlignment="1">
      <alignment horizontal="center" vertical="center" wrapText="1"/>
    </xf>
    <xf numFmtId="165" fontId="19" fillId="16" borderId="3" xfId="0" applyNumberFormat="1" applyFont="1" applyFill="1" applyBorder="1" applyAlignment="1">
      <alignment horizontal="center" vertical="center" wrapText="1"/>
    </xf>
    <xf numFmtId="171" fontId="19" fillId="16" borderId="3" xfId="0" applyNumberFormat="1" applyFont="1" applyFill="1" applyBorder="1" applyAlignment="1">
      <alignment horizontal="center" vertical="center" wrapText="1"/>
    </xf>
    <xf numFmtId="172" fontId="22" fillId="16" borderId="3" xfId="0" applyNumberFormat="1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172" fontId="30" fillId="11" borderId="3" xfId="0" applyNumberFormat="1" applyFont="1" applyFill="1" applyBorder="1" applyAlignment="1">
      <alignment horizontal="center" vertical="center" wrapText="1"/>
    </xf>
    <xf numFmtId="172" fontId="30" fillId="10" borderId="3" xfId="0" applyNumberFormat="1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top" wrapText="1"/>
    </xf>
    <xf numFmtId="171" fontId="29" fillId="11" borderId="3" xfId="0" applyNumberFormat="1" applyFont="1" applyFill="1" applyBorder="1" applyAlignment="1">
      <alignment horizontal="center" vertical="center" wrapText="1"/>
    </xf>
    <xf numFmtId="171" fontId="30" fillId="11" borderId="3" xfId="0" applyNumberFormat="1" applyFont="1" applyFill="1" applyBorder="1" applyAlignment="1">
      <alignment horizontal="center" vertical="center" wrapText="1"/>
    </xf>
    <xf numFmtId="171" fontId="32" fillId="11" borderId="3" xfId="0" applyNumberFormat="1" applyFont="1" applyFill="1" applyBorder="1" applyAlignment="1">
      <alignment horizontal="center" vertical="center" wrapText="1"/>
    </xf>
    <xf numFmtId="171" fontId="29" fillId="10" borderId="3" xfId="0" applyNumberFormat="1" applyFont="1" applyFill="1" applyBorder="1" applyAlignment="1">
      <alignment horizontal="center" vertical="center" wrapText="1"/>
    </xf>
    <xf numFmtId="171" fontId="30" fillId="10" borderId="3" xfId="0" applyNumberFormat="1" applyFont="1" applyFill="1" applyBorder="1" applyAlignment="1">
      <alignment horizontal="center" vertical="center" wrapText="1"/>
    </xf>
    <xf numFmtId="171" fontId="32" fillId="10" borderId="3" xfId="0" applyNumberFormat="1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171" fontId="29" fillId="9" borderId="3" xfId="0" applyNumberFormat="1" applyFont="1" applyFill="1" applyBorder="1" applyAlignment="1">
      <alignment horizontal="center" vertical="center" wrapText="1"/>
    </xf>
    <xf numFmtId="171" fontId="30" fillId="9" borderId="3" xfId="0" applyNumberFormat="1" applyFont="1" applyFill="1" applyBorder="1" applyAlignment="1">
      <alignment horizontal="center" vertical="center" wrapText="1"/>
    </xf>
    <xf numFmtId="171" fontId="33" fillId="9" borderId="3" xfId="0" applyNumberFormat="1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171" fontId="34" fillId="7" borderId="3" xfId="0" applyNumberFormat="1" applyFont="1" applyFill="1" applyBorder="1" applyAlignment="1">
      <alignment horizontal="center" vertical="center" wrapText="1"/>
    </xf>
    <xf numFmtId="166" fontId="25" fillId="7" borderId="3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171" fontId="16" fillId="2" borderId="3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 wrapText="1"/>
    </xf>
    <xf numFmtId="171" fontId="17" fillId="7" borderId="3" xfId="0" applyNumberFormat="1" applyFont="1" applyFill="1" applyBorder="1" applyAlignment="1">
      <alignment horizontal="center" vertical="center" wrapText="1"/>
    </xf>
    <xf numFmtId="166" fontId="17" fillId="9" borderId="3" xfId="0" applyNumberFormat="1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0" fillId="13" borderId="2" xfId="0" applyFill="1" applyBorder="1"/>
    <xf numFmtId="0" fontId="9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9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9" fillId="5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1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0" fillId="10" borderId="2" xfId="0" applyFill="1" applyBorder="1"/>
    <xf numFmtId="0" fontId="26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6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3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7FDEF8-BF56-4C58-9808-BF06AF54BCCA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DE7"/>
      <rgbColor rgb="FFF2F2F2"/>
      <rgbColor rgb="FF660066"/>
      <rgbColor rgb="FFFF8080"/>
      <rgbColor rgb="FF2E75B6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0E0"/>
      <rgbColor rgb="FFE2EFDA"/>
      <rgbColor rgb="FFFFF2CC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843C0C"/>
      <rgbColor rgb="FF993366"/>
      <rgbColor rgb="FF55555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opLeftCell="A7" zoomScaleNormal="100" workbookViewId="0">
      <selection sqref="A1:L1"/>
    </sheetView>
  </sheetViews>
  <sheetFormatPr defaultColWidth="8.6640625" defaultRowHeight="14.4" x14ac:dyDescent="0.3"/>
  <cols>
    <col min="1" max="2" width="22" customWidth="1"/>
    <col min="3" max="3" width="18" customWidth="1"/>
    <col min="4" max="4" width="16" customWidth="1"/>
    <col min="5" max="5" width="18" customWidth="1"/>
    <col min="6" max="6" width="16" customWidth="1"/>
    <col min="7" max="12" width="15" customWidth="1"/>
  </cols>
  <sheetData>
    <row r="1" spans="1:12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1:12" ht="18" customHeight="1" x14ac:dyDescent="0.3">
      <c r="A4" s="12" t="s">
        <v>2</v>
      </c>
      <c r="B4" s="12"/>
      <c r="C4" s="12"/>
      <c r="D4" s="11" t="s">
        <v>3</v>
      </c>
      <c r="E4" s="11"/>
      <c r="F4" s="11"/>
      <c r="G4" s="10" t="s">
        <v>4</v>
      </c>
      <c r="H4" s="10"/>
      <c r="I4" s="10"/>
      <c r="J4" s="9" t="s">
        <v>5</v>
      </c>
      <c r="K4" s="9"/>
      <c r="L4" s="9"/>
    </row>
    <row r="5" spans="1:12" ht="31.5" customHeight="1" x14ac:dyDescent="0.3">
      <c r="A5" s="8" t="s">
        <v>6</v>
      </c>
      <c r="B5" s="8"/>
      <c r="C5" s="8"/>
      <c r="D5" s="7" t="s">
        <v>7</v>
      </c>
      <c r="E5" s="7"/>
      <c r="F5" s="7"/>
      <c r="G5" s="6" t="s">
        <v>8</v>
      </c>
      <c r="H5" s="6"/>
      <c r="I5" s="6"/>
      <c r="J5" s="5" t="s">
        <v>9</v>
      </c>
      <c r="K5" s="5"/>
      <c r="L5" s="5"/>
    </row>
    <row r="6" spans="1:12" ht="13.5" customHeight="1" x14ac:dyDescent="0.3">
      <c r="A6" s="4" t="s">
        <v>10</v>
      </c>
      <c r="B6" s="4"/>
      <c r="C6" s="4"/>
      <c r="D6" s="4" t="s">
        <v>11</v>
      </c>
      <c r="E6" s="4"/>
      <c r="F6" s="4"/>
      <c r="G6" s="4" t="s">
        <v>12</v>
      </c>
      <c r="H6" s="4"/>
      <c r="I6" s="4"/>
      <c r="J6" s="4" t="s">
        <v>13</v>
      </c>
      <c r="K6" s="4"/>
      <c r="L6" s="4"/>
    </row>
    <row r="8" spans="1:12" ht="15.75" customHeight="1" x14ac:dyDescent="0.3">
      <c r="A8" s="3" t="s">
        <v>14</v>
      </c>
      <c r="B8" s="3"/>
      <c r="C8" s="3"/>
      <c r="D8" s="3"/>
      <c r="E8" s="3"/>
      <c r="F8" s="3"/>
    </row>
    <row r="9" spans="1:12" ht="30" customHeight="1" x14ac:dyDescent="0.3">
      <c r="A9" s="15" t="s">
        <v>15</v>
      </c>
      <c r="B9" s="15" t="s">
        <v>16</v>
      </c>
      <c r="C9" s="15" t="s">
        <v>17</v>
      </c>
      <c r="D9" s="15" t="s">
        <v>18</v>
      </c>
      <c r="E9" s="15" t="s">
        <v>19</v>
      </c>
      <c r="F9" s="15" t="s">
        <v>20</v>
      </c>
    </row>
    <row r="10" spans="1:12" ht="15" customHeight="1" x14ac:dyDescent="0.3">
      <c r="A10" s="16" t="s">
        <v>21</v>
      </c>
      <c r="B10" s="16" t="s">
        <v>22</v>
      </c>
      <c r="C10" s="17">
        <v>221472.95</v>
      </c>
      <c r="D10" s="18">
        <v>5798.59</v>
      </c>
      <c r="E10" s="18">
        <v>1882.71</v>
      </c>
      <c r="F10" s="18">
        <v>7681.3</v>
      </c>
    </row>
    <row r="11" spans="1:12" ht="15" customHeight="1" x14ac:dyDescent="0.3">
      <c r="A11" s="19" t="s">
        <v>23</v>
      </c>
      <c r="B11" s="19" t="s">
        <v>24</v>
      </c>
      <c r="C11" s="20">
        <v>48444.2</v>
      </c>
      <c r="D11" s="21">
        <v>1337.27</v>
      </c>
      <c r="E11" s="21">
        <v>411.82</v>
      </c>
      <c r="F11" s="21">
        <v>1749.09</v>
      </c>
    </row>
    <row r="12" spans="1:12" ht="15" customHeight="1" x14ac:dyDescent="0.3">
      <c r="A12" s="16" t="s">
        <v>25</v>
      </c>
      <c r="B12" s="16" t="s">
        <v>26</v>
      </c>
      <c r="C12" s="17">
        <v>374040.18</v>
      </c>
      <c r="D12" s="18">
        <v>9432.17</v>
      </c>
      <c r="E12" s="18">
        <v>3179.68</v>
      </c>
      <c r="F12" s="18">
        <v>12611.85</v>
      </c>
    </row>
    <row r="13" spans="1:12" ht="15" customHeight="1" x14ac:dyDescent="0.3">
      <c r="A13" s="19" t="s">
        <v>27</v>
      </c>
      <c r="B13" s="19" t="s">
        <v>28</v>
      </c>
      <c r="C13" s="20">
        <v>349749.29</v>
      </c>
      <c r="D13" s="21">
        <v>8299.36</v>
      </c>
      <c r="E13" s="21">
        <v>2973.19</v>
      </c>
      <c r="F13" s="21">
        <v>11272.55</v>
      </c>
    </row>
    <row r="14" spans="1:12" ht="15" customHeight="1" x14ac:dyDescent="0.3">
      <c r="A14" s="16" t="s">
        <v>29</v>
      </c>
      <c r="B14" s="16" t="s">
        <v>30</v>
      </c>
      <c r="C14" s="17">
        <v>72998.02</v>
      </c>
      <c r="D14" s="18">
        <v>1587.78</v>
      </c>
      <c r="E14" s="18">
        <v>620.54999999999995</v>
      </c>
      <c r="F14" s="18">
        <v>2208.33</v>
      </c>
    </row>
    <row r="15" spans="1:12" ht="15" customHeight="1" x14ac:dyDescent="0.3">
      <c r="A15" s="22" t="s">
        <v>31</v>
      </c>
      <c r="B15" s="22" t="s">
        <v>32</v>
      </c>
      <c r="C15" s="23">
        <f>SUM(C10:C14)</f>
        <v>1066704.6400000001</v>
      </c>
      <c r="D15" s="24">
        <f>SUM(D10:D14)</f>
        <v>26455.17</v>
      </c>
      <c r="E15" s="24">
        <f>SUM(E10:E14)</f>
        <v>9067.9499999999989</v>
      </c>
      <c r="F15" s="24">
        <f>SUM(F10:F14)</f>
        <v>35523.119999999995</v>
      </c>
    </row>
    <row r="17" spans="1:6" ht="15.75" customHeight="1" x14ac:dyDescent="0.3">
      <c r="A17" s="3" t="s">
        <v>33</v>
      </c>
      <c r="B17" s="3"/>
      <c r="C17" s="3"/>
      <c r="D17" s="3"/>
      <c r="E17" s="3"/>
      <c r="F17" s="3"/>
    </row>
    <row r="18" spans="1:6" ht="30" customHeight="1" x14ac:dyDescent="0.3">
      <c r="A18" s="15" t="s">
        <v>34</v>
      </c>
      <c r="B18" s="15" t="s">
        <v>35</v>
      </c>
      <c r="C18" s="15" t="s">
        <v>36</v>
      </c>
      <c r="D18" s="15" t="s">
        <v>37</v>
      </c>
      <c r="E18" s="15" t="s">
        <v>38</v>
      </c>
      <c r="F18" s="15" t="s">
        <v>39</v>
      </c>
    </row>
    <row r="19" spans="1:6" ht="15" customHeight="1" x14ac:dyDescent="0.3">
      <c r="A19" s="19" t="s">
        <v>40</v>
      </c>
      <c r="B19" s="25" t="s">
        <v>41</v>
      </c>
      <c r="C19" s="20">
        <v>7775.51</v>
      </c>
      <c r="D19" s="26">
        <v>7.5932714843750002</v>
      </c>
      <c r="E19" s="27">
        <v>7.2892811265918896E-3</v>
      </c>
      <c r="F19" s="25" t="s">
        <v>42</v>
      </c>
    </row>
    <row r="20" spans="1:6" ht="15" customHeight="1" x14ac:dyDescent="0.3">
      <c r="A20" s="16" t="s">
        <v>43</v>
      </c>
      <c r="B20" s="28" t="s">
        <v>41</v>
      </c>
      <c r="C20" s="17">
        <v>7401.73</v>
      </c>
      <c r="D20" s="29">
        <v>7.2282519531249996</v>
      </c>
      <c r="E20" s="30">
        <v>6.9388748510553003E-3</v>
      </c>
      <c r="F20" s="28" t="s">
        <v>42</v>
      </c>
    </row>
    <row r="21" spans="1:6" ht="15" customHeight="1" x14ac:dyDescent="0.3">
      <c r="A21" s="19" t="s">
        <v>44</v>
      </c>
      <c r="B21" s="25" t="s">
        <v>45</v>
      </c>
      <c r="C21" s="20">
        <v>165555.92000000001</v>
      </c>
      <c r="D21" s="26">
        <v>161.67570312500001</v>
      </c>
      <c r="E21" s="27">
        <v>0.155203149767868</v>
      </c>
      <c r="F21" s="25" t="s">
        <v>46</v>
      </c>
    </row>
    <row r="22" spans="1:6" ht="23.25" customHeight="1" x14ac:dyDescent="0.3">
      <c r="A22" s="16" t="s">
        <v>47</v>
      </c>
      <c r="B22" s="28" t="s">
        <v>48</v>
      </c>
      <c r="C22" s="17">
        <v>3195.69</v>
      </c>
      <c r="D22" s="29">
        <v>3.1207910156250001</v>
      </c>
      <c r="E22" s="30">
        <v>2.9958527226430702E-3</v>
      </c>
      <c r="F22" s="28" t="s">
        <v>49</v>
      </c>
    </row>
    <row r="23" spans="1:6" ht="15" customHeight="1" x14ac:dyDescent="0.3">
      <c r="A23" s="19" t="s">
        <v>50</v>
      </c>
      <c r="B23" s="25" t="s">
        <v>51</v>
      </c>
      <c r="C23" s="20">
        <v>882775.79</v>
      </c>
      <c r="D23" s="26">
        <v>862.08573242187504</v>
      </c>
      <c r="E23" s="27">
        <v>0.82757284153184096</v>
      </c>
      <c r="F23" s="25" t="s">
        <v>52</v>
      </c>
    </row>
    <row r="24" spans="1:6" ht="15" customHeight="1" x14ac:dyDescent="0.3">
      <c r="A24" s="22" t="s">
        <v>53</v>
      </c>
      <c r="B24" s="22"/>
      <c r="C24" s="23">
        <v>1066704.6399999999</v>
      </c>
      <c r="D24" s="31">
        <v>1041.7037499999999</v>
      </c>
      <c r="E24" s="32">
        <v>1</v>
      </c>
      <c r="F24" s="22"/>
    </row>
  </sheetData>
  <mergeCells count="16">
    <mergeCell ref="A8:F8"/>
    <mergeCell ref="A17:F17"/>
    <mergeCell ref="A5:C5"/>
    <mergeCell ref="D5:F5"/>
    <mergeCell ref="G5:I5"/>
    <mergeCell ref="J5:L5"/>
    <mergeCell ref="A6:C6"/>
    <mergeCell ref="D6:F6"/>
    <mergeCell ref="G6:I6"/>
    <mergeCell ref="J6:L6"/>
    <mergeCell ref="A1:L1"/>
    <mergeCell ref="A2:L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showGridLines="0" zoomScaleNormal="100" workbookViewId="0">
      <selection sqref="A1:M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  <col min="4" max="5" width="18" customWidth="1"/>
    <col min="6" max="6" width="16" customWidth="1"/>
    <col min="7" max="7" width="18" customWidth="1"/>
    <col min="8" max="8" width="20" customWidth="1"/>
    <col min="9" max="9" width="16" customWidth="1"/>
    <col min="10" max="11" width="18" customWidth="1"/>
    <col min="12" max="12" width="13" customWidth="1"/>
  </cols>
  <sheetData>
    <row r="1" spans="1:13" ht="24" customHeight="1" x14ac:dyDescent="0.3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 customHeight="1" x14ac:dyDescent="0.3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ht="15.75" customHeight="1" x14ac:dyDescent="0.3">
      <c r="A4" s="125" t="s">
        <v>56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</row>
    <row r="5" spans="1:13" ht="31.5" customHeight="1" x14ac:dyDescent="0.3">
      <c r="A5" s="15" t="s">
        <v>57</v>
      </c>
      <c r="B5" s="15" t="s">
        <v>34</v>
      </c>
      <c r="C5" s="15" t="s">
        <v>39</v>
      </c>
      <c r="D5" s="15" t="s">
        <v>58</v>
      </c>
      <c r="E5" s="15" t="s">
        <v>59</v>
      </c>
      <c r="F5" s="15" t="s">
        <v>60</v>
      </c>
      <c r="G5" s="15" t="s">
        <v>61</v>
      </c>
      <c r="H5" s="15" t="s">
        <v>62</v>
      </c>
      <c r="I5" s="15" t="s">
        <v>63</v>
      </c>
      <c r="J5" s="15" t="s">
        <v>64</v>
      </c>
      <c r="K5" s="15" t="s">
        <v>65</v>
      </c>
      <c r="L5" s="15" t="s">
        <v>66</v>
      </c>
      <c r="M5" s="15"/>
    </row>
    <row r="6" spans="1:13" ht="42.75" customHeight="1" x14ac:dyDescent="0.3">
      <c r="A6" s="33" t="s">
        <v>67</v>
      </c>
      <c r="B6" s="28" t="s">
        <v>68</v>
      </c>
      <c r="C6" s="34">
        <v>0.02</v>
      </c>
      <c r="D6" s="16" t="s">
        <v>41</v>
      </c>
      <c r="E6" s="35">
        <v>2.3E-2</v>
      </c>
      <c r="F6" s="35">
        <v>2.4E-2</v>
      </c>
      <c r="G6" s="36">
        <v>0</v>
      </c>
      <c r="H6" s="28" t="s">
        <v>69</v>
      </c>
      <c r="I6" s="37">
        <v>0.18</v>
      </c>
      <c r="J6" s="38">
        <f>C6*I6</f>
        <v>3.5999999999999999E-3</v>
      </c>
      <c r="K6" s="39">
        <v>0</v>
      </c>
      <c r="L6" s="40" t="s">
        <v>70</v>
      </c>
    </row>
    <row r="7" spans="1:13" ht="32.25" customHeight="1" x14ac:dyDescent="0.3">
      <c r="A7" s="41" t="s">
        <v>71</v>
      </c>
      <c r="B7" s="25" t="s">
        <v>44</v>
      </c>
      <c r="C7" s="34">
        <v>1.4999999999999999E-2</v>
      </c>
      <c r="D7" s="19" t="s">
        <v>45</v>
      </c>
      <c r="E7" s="35">
        <v>1.2500000000000001E-2</v>
      </c>
      <c r="F7" s="35">
        <v>1.2999999999999999E-2</v>
      </c>
      <c r="G7" s="42">
        <v>0.01</v>
      </c>
      <c r="H7" s="25" t="s">
        <v>72</v>
      </c>
      <c r="I7" s="37">
        <v>0.18</v>
      </c>
      <c r="J7" s="43">
        <f>C7*I7</f>
        <v>2.6999999999999997E-3</v>
      </c>
      <c r="K7" s="39">
        <v>0</v>
      </c>
      <c r="L7" s="44" t="s">
        <v>73</v>
      </c>
    </row>
    <row r="8" spans="1:13" ht="32.25" customHeight="1" x14ac:dyDescent="0.3">
      <c r="A8" s="33" t="s">
        <v>74</v>
      </c>
      <c r="B8" s="28" t="s">
        <v>47</v>
      </c>
      <c r="C8" s="34">
        <v>0.01</v>
      </c>
      <c r="D8" s="16" t="s">
        <v>48</v>
      </c>
      <c r="E8" s="35">
        <v>4.0000000000000001E-3</v>
      </c>
      <c r="F8" s="35">
        <v>4.4999999999999997E-3</v>
      </c>
      <c r="G8" s="36">
        <v>0.03</v>
      </c>
      <c r="H8" s="28" t="s">
        <v>75</v>
      </c>
      <c r="I8" s="37">
        <v>0.18</v>
      </c>
      <c r="J8" s="38">
        <f>C8*I8</f>
        <v>1.8E-3</v>
      </c>
      <c r="K8" s="39">
        <v>0</v>
      </c>
      <c r="L8" s="40" t="s">
        <v>76</v>
      </c>
    </row>
    <row r="9" spans="1:13" ht="32.25" customHeight="1" x14ac:dyDescent="0.3">
      <c r="A9" s="41" t="s">
        <v>50</v>
      </c>
      <c r="B9" s="25" t="s">
        <v>50</v>
      </c>
      <c r="C9" s="34">
        <v>2E-3</v>
      </c>
      <c r="D9" s="19" t="s">
        <v>51</v>
      </c>
      <c r="E9" s="35">
        <v>9.8999999999999999E-4</v>
      </c>
      <c r="F9" s="35">
        <v>1E-3</v>
      </c>
      <c r="G9" s="42">
        <v>0.02</v>
      </c>
      <c r="H9" s="25" t="s">
        <v>77</v>
      </c>
      <c r="I9" s="37">
        <v>0.18</v>
      </c>
      <c r="J9" s="43">
        <f>C9*I9</f>
        <v>3.5999999999999997E-4</v>
      </c>
      <c r="K9" s="39">
        <v>0</v>
      </c>
      <c r="L9" s="44" t="s">
        <v>78</v>
      </c>
    </row>
    <row r="11" spans="1:13" ht="15.75" customHeight="1" x14ac:dyDescent="0.3">
      <c r="A11" s="125" t="s">
        <v>79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</row>
    <row r="12" spans="1:13" ht="31.5" customHeight="1" x14ac:dyDescent="0.3">
      <c r="A12" s="22" t="s">
        <v>80</v>
      </c>
      <c r="B12" s="22" t="s">
        <v>36</v>
      </c>
      <c r="C12" s="22" t="s">
        <v>37</v>
      </c>
      <c r="D12" s="22" t="s">
        <v>81</v>
      </c>
      <c r="E12" s="22" t="s">
        <v>82</v>
      </c>
      <c r="F12" s="22" t="s">
        <v>83</v>
      </c>
      <c r="G12" s="22" t="s">
        <v>84</v>
      </c>
      <c r="H12" s="22" t="s">
        <v>85</v>
      </c>
      <c r="I12" s="22" t="s">
        <v>86</v>
      </c>
      <c r="J12" s="22" t="s">
        <v>87</v>
      </c>
      <c r="K12" s="22" t="s">
        <v>88</v>
      </c>
      <c r="L12" s="22" t="s">
        <v>89</v>
      </c>
      <c r="M12" s="22"/>
    </row>
    <row r="13" spans="1:13" ht="15" customHeight="1" x14ac:dyDescent="0.3">
      <c r="A13" s="33" t="s">
        <v>68</v>
      </c>
      <c r="B13" s="17">
        <v>15177.24</v>
      </c>
      <c r="C13" s="29">
        <v>14.8215234375</v>
      </c>
      <c r="D13" s="45">
        <v>303.54480000000001</v>
      </c>
      <c r="E13" s="45">
        <v>104.045034265892</v>
      </c>
      <c r="F13" s="45">
        <v>407.58983426589202</v>
      </c>
      <c r="G13" s="46">
        <v>361.81781297999999</v>
      </c>
      <c r="H13" s="46">
        <v>7.2363562596</v>
      </c>
      <c r="I13" s="46">
        <v>369.05416923960001</v>
      </c>
      <c r="J13" s="47">
        <v>38.535665026292101</v>
      </c>
      <c r="K13" s="47">
        <v>462.42798031550598</v>
      </c>
      <c r="L13" s="30">
        <v>9.4545206446815605E-2</v>
      </c>
    </row>
    <row r="14" spans="1:13" ht="15" customHeight="1" x14ac:dyDescent="0.3">
      <c r="A14" s="41" t="s">
        <v>44</v>
      </c>
      <c r="B14" s="20">
        <v>165555.92000000001</v>
      </c>
      <c r="C14" s="26">
        <v>161.67570312500001</v>
      </c>
      <c r="D14" s="45">
        <v>2483.3388</v>
      </c>
      <c r="E14" s="45">
        <v>851.20572165894202</v>
      </c>
      <c r="F14" s="45">
        <v>3334.5445216589401</v>
      </c>
      <c r="G14" s="46">
        <v>2144.9838884999999</v>
      </c>
      <c r="H14" s="46">
        <v>42.899677769999997</v>
      </c>
      <c r="I14" s="46">
        <v>2187.8835662699998</v>
      </c>
      <c r="J14" s="47">
        <v>1146.66095538894</v>
      </c>
      <c r="K14" s="47">
        <v>13759.931464667299</v>
      </c>
      <c r="L14" s="27">
        <v>0.34387333800493902</v>
      </c>
    </row>
    <row r="15" spans="1:13" ht="15" customHeight="1" x14ac:dyDescent="0.3">
      <c r="A15" s="33" t="s">
        <v>74</v>
      </c>
      <c r="B15" s="17">
        <v>3195.69</v>
      </c>
      <c r="C15" s="29">
        <v>3.1207910156250001</v>
      </c>
      <c r="D15" s="45">
        <v>31.956900000000001</v>
      </c>
      <c r="E15" s="45">
        <v>10.9537595621196</v>
      </c>
      <c r="F15" s="45">
        <v>42.910659562119598</v>
      </c>
      <c r="G15" s="46">
        <v>13.24933074</v>
      </c>
      <c r="H15" s="46">
        <v>0.26498661480000002</v>
      </c>
      <c r="I15" s="46">
        <v>13.514317354799999</v>
      </c>
      <c r="J15" s="47">
        <v>29.396342207319599</v>
      </c>
      <c r="K15" s="47">
        <v>352.75610648783498</v>
      </c>
      <c r="L15" s="30">
        <v>0.68505920224237105</v>
      </c>
    </row>
    <row r="16" spans="1:13" ht="15" customHeight="1" x14ac:dyDescent="0.3">
      <c r="A16" s="41" t="s">
        <v>50</v>
      </c>
      <c r="B16" s="20">
        <v>882775.79</v>
      </c>
      <c r="C16" s="26">
        <v>862.08573242187504</v>
      </c>
      <c r="D16" s="45">
        <v>1765.5515800000001</v>
      </c>
      <c r="E16" s="45">
        <v>605.17220074038505</v>
      </c>
      <c r="F16" s="45">
        <v>2370.7237807403899</v>
      </c>
      <c r="G16" s="46">
        <v>905.84713527165002</v>
      </c>
      <c r="H16" s="46">
        <v>18.116942705433001</v>
      </c>
      <c r="I16" s="46">
        <v>923.96407797708298</v>
      </c>
      <c r="J16" s="47">
        <v>1446.7597027633001</v>
      </c>
      <c r="K16" s="47">
        <v>17361.116433159601</v>
      </c>
      <c r="L16" s="27">
        <v>0.61026076277493402</v>
      </c>
    </row>
    <row r="17" spans="1:12" ht="15" customHeight="1" x14ac:dyDescent="0.3">
      <c r="A17" s="48" t="s">
        <v>53</v>
      </c>
      <c r="B17" s="23">
        <f t="shared" ref="B17:K17" si="0">SUM(B13:B16)</f>
        <v>1066704.6400000001</v>
      </c>
      <c r="C17" s="31">
        <f t="shared" si="0"/>
        <v>1041.7037500000001</v>
      </c>
      <c r="D17" s="24">
        <f t="shared" si="0"/>
        <v>4584.3920800000005</v>
      </c>
      <c r="E17" s="24">
        <f t="shared" si="0"/>
        <v>1571.3767162273386</v>
      </c>
      <c r="F17" s="24">
        <f t="shared" si="0"/>
        <v>6155.7687962273412</v>
      </c>
      <c r="G17" s="24">
        <f t="shared" si="0"/>
        <v>3425.8981674916499</v>
      </c>
      <c r="H17" s="24">
        <f t="shared" si="0"/>
        <v>68.517963349832996</v>
      </c>
      <c r="I17" s="24">
        <f t="shared" si="0"/>
        <v>3494.4161308414828</v>
      </c>
      <c r="J17" s="24">
        <f t="shared" si="0"/>
        <v>2661.3526653858517</v>
      </c>
      <c r="K17" s="24">
        <f t="shared" si="0"/>
        <v>31936.231984630242</v>
      </c>
      <c r="L17" s="32">
        <f>J17/F17</f>
        <v>0.43233473404928774</v>
      </c>
    </row>
    <row r="19" spans="1:12" ht="15" customHeight="1" x14ac:dyDescent="0.3">
      <c r="A19" s="126" t="s">
        <v>90</v>
      </c>
      <c r="B19" s="126"/>
      <c r="C19" s="126"/>
    </row>
    <row r="20" spans="1:12" ht="23.25" customHeight="1" x14ac:dyDescent="0.3">
      <c r="A20" s="49" t="s">
        <v>91</v>
      </c>
      <c r="B20" s="127">
        <f>F17*12</f>
        <v>73869.225554728095</v>
      </c>
      <c r="C20" s="127"/>
    </row>
    <row r="21" spans="1:12" ht="23.25" customHeight="1" x14ac:dyDescent="0.3">
      <c r="A21" s="49" t="s">
        <v>92</v>
      </c>
      <c r="B21" s="127">
        <f>I17*12</f>
        <v>41932.993570097795</v>
      </c>
      <c r="C21" s="127"/>
    </row>
    <row r="22" spans="1:12" ht="15" customHeight="1" x14ac:dyDescent="0.3">
      <c r="A22" s="49" t="s">
        <v>93</v>
      </c>
      <c r="B22" s="127">
        <f>K17*12</f>
        <v>383234.7838155629</v>
      </c>
      <c r="C22" s="127"/>
    </row>
    <row r="23" spans="1:12" ht="15" customHeight="1" x14ac:dyDescent="0.3">
      <c r="A23" s="49" t="s">
        <v>94</v>
      </c>
      <c r="B23" s="128">
        <f>B22/B20</f>
        <v>5.1880168085914562</v>
      </c>
      <c r="C23" s="128"/>
    </row>
  </sheetData>
  <mergeCells count="9">
    <mergeCell ref="B20:C20"/>
    <mergeCell ref="B21:C21"/>
    <mergeCell ref="B22:C22"/>
    <mergeCell ref="B23:C23"/>
    <mergeCell ref="A1:M1"/>
    <mergeCell ref="A2:M2"/>
    <mergeCell ref="A4:M4"/>
    <mergeCell ref="A11:M11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38" customWidth="1"/>
    <col min="2" max="2" width="16" customWidth="1"/>
    <col min="3" max="3" width="22" customWidth="1"/>
    <col min="4" max="4" width="20" customWidth="1"/>
    <col min="5" max="5" width="18" customWidth="1"/>
    <col min="6" max="7" width="14" customWidth="1"/>
    <col min="8" max="14" width="12" customWidth="1"/>
  </cols>
  <sheetData>
    <row r="1" spans="1:14" ht="24" customHeight="1" x14ac:dyDescent="0.3">
      <c r="A1" s="2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2.75" customHeight="1" x14ac:dyDescent="0.3">
      <c r="A2" s="1" t="s">
        <v>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8" customHeight="1" x14ac:dyDescent="0.3"/>
    <row r="4" spans="1:14" ht="18" customHeight="1" x14ac:dyDescent="0.3">
      <c r="A4" s="129" t="s">
        <v>97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</row>
    <row r="5" spans="1:14" ht="13.5" customHeight="1" x14ac:dyDescent="0.3">
      <c r="A5" s="130" t="s">
        <v>98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</row>
    <row r="6" spans="1:14" ht="27.75" customHeight="1" x14ac:dyDescent="0.3">
      <c r="A6" s="50" t="s">
        <v>34</v>
      </c>
      <c r="B6" s="50" t="s">
        <v>99</v>
      </c>
      <c r="C6" s="50" t="s">
        <v>100</v>
      </c>
      <c r="D6" s="50" t="s">
        <v>101</v>
      </c>
      <c r="E6" s="50" t="s">
        <v>102</v>
      </c>
      <c r="F6" s="50" t="s">
        <v>66</v>
      </c>
      <c r="G6" s="50"/>
      <c r="H6" s="50"/>
      <c r="I6" s="50"/>
      <c r="J6" s="50"/>
      <c r="K6" s="50"/>
      <c r="L6" s="50"/>
      <c r="M6" s="50"/>
      <c r="N6" s="50"/>
    </row>
    <row r="7" spans="1:14" ht="18" customHeight="1" x14ac:dyDescent="0.3">
      <c r="A7" s="51" t="s">
        <v>40</v>
      </c>
      <c r="B7" s="52">
        <v>7775.51</v>
      </c>
      <c r="C7" s="53">
        <f>B7*1.074</f>
        <v>8350.8977400000003</v>
      </c>
      <c r="D7" s="54">
        <v>0</v>
      </c>
      <c r="E7" s="55">
        <f>C7*D7</f>
        <v>0</v>
      </c>
      <c r="F7" s="131" t="s">
        <v>103</v>
      </c>
      <c r="G7" s="131"/>
      <c r="H7" s="131"/>
      <c r="I7" s="131"/>
      <c r="J7" s="131"/>
      <c r="K7" s="131"/>
      <c r="L7" s="131"/>
      <c r="M7" s="131"/>
      <c r="N7" s="131"/>
    </row>
    <row r="8" spans="1:14" ht="18" customHeight="1" x14ac:dyDescent="0.3">
      <c r="A8" s="56" t="s">
        <v>43</v>
      </c>
      <c r="B8" s="52">
        <v>7401.73</v>
      </c>
      <c r="C8" s="57">
        <f>B8*1.074</f>
        <v>7949.45802</v>
      </c>
      <c r="D8" s="54">
        <v>0</v>
      </c>
      <c r="E8" s="55">
        <f>C8*D8</f>
        <v>0</v>
      </c>
      <c r="F8" s="132" t="s">
        <v>103</v>
      </c>
      <c r="G8" s="132"/>
      <c r="H8" s="132"/>
      <c r="I8" s="132"/>
      <c r="J8" s="132"/>
      <c r="K8" s="132"/>
      <c r="L8" s="132"/>
      <c r="M8" s="132"/>
      <c r="N8" s="132"/>
    </row>
    <row r="9" spans="1:14" ht="18" customHeight="1" x14ac:dyDescent="0.3">
      <c r="A9" s="51" t="s">
        <v>44</v>
      </c>
      <c r="B9" s="52">
        <v>165555.92000000001</v>
      </c>
      <c r="C9" s="53">
        <f>B9*1.074</f>
        <v>177807.05808000002</v>
      </c>
      <c r="D9" s="54">
        <v>0.01</v>
      </c>
      <c r="E9" s="58">
        <f>C9*D9</f>
        <v>1778.0705808000002</v>
      </c>
      <c r="F9" s="131" t="s">
        <v>104</v>
      </c>
      <c r="G9" s="131"/>
      <c r="H9" s="131"/>
      <c r="I9" s="131"/>
      <c r="J9" s="131"/>
      <c r="K9" s="131"/>
      <c r="L9" s="131"/>
      <c r="M9" s="131"/>
      <c r="N9" s="131"/>
    </row>
    <row r="10" spans="1:14" ht="18" customHeight="1" x14ac:dyDescent="0.3">
      <c r="A10" s="56" t="s">
        <v>47</v>
      </c>
      <c r="B10" s="52">
        <v>3195.69</v>
      </c>
      <c r="C10" s="57">
        <f>B10*1.074</f>
        <v>3432.1710600000001</v>
      </c>
      <c r="D10" s="54">
        <v>0.03</v>
      </c>
      <c r="E10" s="58">
        <f>C10*D10</f>
        <v>102.96513179999999</v>
      </c>
      <c r="F10" s="132" t="s">
        <v>104</v>
      </c>
      <c r="G10" s="132"/>
      <c r="H10" s="132"/>
      <c r="I10" s="132"/>
      <c r="J10" s="132"/>
      <c r="K10" s="132"/>
      <c r="L10" s="132"/>
      <c r="M10" s="132"/>
      <c r="N10" s="132"/>
    </row>
    <row r="11" spans="1:14" ht="18" customHeight="1" x14ac:dyDescent="0.3">
      <c r="A11" s="51" t="s">
        <v>50</v>
      </c>
      <c r="B11" s="52">
        <v>882775.79</v>
      </c>
      <c r="C11" s="53">
        <f>B11*1.074</f>
        <v>948101.1984600001</v>
      </c>
      <c r="D11" s="54">
        <v>2.1999999999999999E-2</v>
      </c>
      <c r="E11" s="58">
        <f>C11*D11</f>
        <v>20858.226366120001</v>
      </c>
      <c r="F11" s="131" t="s">
        <v>105</v>
      </c>
      <c r="G11" s="131"/>
      <c r="H11" s="131"/>
      <c r="I11" s="131"/>
      <c r="J11" s="131"/>
      <c r="K11" s="131"/>
      <c r="L11" s="131"/>
      <c r="M11" s="131"/>
      <c r="N11" s="131"/>
    </row>
    <row r="12" spans="1:14" ht="18" customHeight="1" x14ac:dyDescent="0.3">
      <c r="A12" s="59" t="s">
        <v>106</v>
      </c>
      <c r="B12" s="133"/>
      <c r="C12" s="133"/>
      <c r="D12" s="133"/>
      <c r="E12" s="60">
        <f>SUM(E7:E11)</f>
        <v>22739.262078720003</v>
      </c>
      <c r="F12" s="133"/>
      <c r="G12" s="133"/>
      <c r="H12" s="133"/>
      <c r="I12" s="133"/>
      <c r="J12" s="133"/>
      <c r="K12" s="133"/>
      <c r="L12" s="133"/>
      <c r="M12" s="133"/>
      <c r="N12" s="133"/>
    </row>
    <row r="13" spans="1:14" ht="18" customHeight="1" x14ac:dyDescent="0.3"/>
    <row r="14" spans="1:14" ht="18" customHeight="1" x14ac:dyDescent="0.3">
      <c r="A14" s="134" t="s">
        <v>107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</row>
    <row r="15" spans="1:14" ht="13.5" customHeight="1" x14ac:dyDescent="0.3">
      <c r="A15" s="130" t="s">
        <v>108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</row>
    <row r="16" spans="1:14" ht="27.75" customHeight="1" x14ac:dyDescent="0.3">
      <c r="A16" s="61" t="s">
        <v>109</v>
      </c>
      <c r="B16" s="61" t="s">
        <v>100</v>
      </c>
      <c r="C16" s="61" t="s">
        <v>110</v>
      </c>
      <c r="D16" s="61" t="s">
        <v>111</v>
      </c>
      <c r="E16" s="61" t="s">
        <v>112</v>
      </c>
      <c r="F16" s="61" t="s">
        <v>113</v>
      </c>
      <c r="G16" s="61" t="s">
        <v>114</v>
      </c>
      <c r="H16" s="61" t="s">
        <v>115</v>
      </c>
      <c r="I16" s="61" t="s">
        <v>66</v>
      </c>
      <c r="J16" s="61"/>
      <c r="K16" s="61"/>
      <c r="L16" s="61"/>
      <c r="M16" s="61"/>
      <c r="N16" s="61"/>
    </row>
    <row r="17" spans="1:14" ht="18" customHeight="1" x14ac:dyDescent="0.3">
      <c r="A17" s="51" t="s">
        <v>116</v>
      </c>
      <c r="B17" s="62">
        <v>316262</v>
      </c>
      <c r="C17" s="63" t="s">
        <v>117</v>
      </c>
      <c r="D17" s="54">
        <v>8.6999999999999994E-2</v>
      </c>
      <c r="E17" s="54">
        <v>8.3000000000000004E-2</v>
      </c>
      <c r="F17" s="54">
        <v>7.0000000000000007E-2</v>
      </c>
      <c r="G17" s="54">
        <v>0.05</v>
      </c>
      <c r="H17" s="64">
        <v>19494.400000000001</v>
      </c>
      <c r="I17" s="131" t="s">
        <v>118</v>
      </c>
      <c r="J17" s="131"/>
      <c r="K17" s="131"/>
      <c r="L17" s="131"/>
      <c r="M17" s="131"/>
      <c r="N17" s="131"/>
    </row>
    <row r="18" spans="1:14" ht="18" customHeight="1" x14ac:dyDescent="0.3">
      <c r="A18" s="56" t="s">
        <v>119</v>
      </c>
      <c r="B18" s="62">
        <v>829379</v>
      </c>
      <c r="C18" s="63" t="s">
        <v>117</v>
      </c>
      <c r="D18" s="54">
        <v>8.6999999999999994E-2</v>
      </c>
      <c r="E18" s="54">
        <v>8.3000000000000004E-2</v>
      </c>
      <c r="F18" s="54">
        <v>7.0000000000000007E-2</v>
      </c>
      <c r="G18" s="54">
        <v>0.05</v>
      </c>
      <c r="H18" s="64">
        <v>45150.25</v>
      </c>
      <c r="I18" s="132" t="s">
        <v>120</v>
      </c>
      <c r="J18" s="132"/>
      <c r="K18" s="132"/>
      <c r="L18" s="132"/>
      <c r="M18" s="132"/>
      <c r="N18" s="132"/>
    </row>
    <row r="19" spans="1:14" ht="18" customHeight="1" x14ac:dyDescent="0.3">
      <c r="A19" s="65" t="s">
        <v>121</v>
      </c>
      <c r="B19" s="135"/>
      <c r="C19" s="135"/>
      <c r="D19" s="135"/>
      <c r="E19" s="135"/>
      <c r="F19" s="135"/>
      <c r="G19" s="135"/>
      <c r="H19" s="66">
        <f>SUM(H17:H18)</f>
        <v>64644.65</v>
      </c>
      <c r="I19" s="135"/>
      <c r="J19" s="135"/>
      <c r="K19" s="135"/>
      <c r="L19" s="135"/>
      <c r="M19" s="135"/>
      <c r="N19" s="135"/>
    </row>
    <row r="20" spans="1:14" ht="18" customHeight="1" x14ac:dyDescent="0.3"/>
    <row r="21" spans="1:14" ht="18" customHeight="1" x14ac:dyDescent="0.3">
      <c r="A21" s="136" t="s">
        <v>122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</row>
    <row r="22" spans="1:14" ht="13.5" customHeight="1" x14ac:dyDescent="0.3">
      <c r="A22" s="130" t="s">
        <v>123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</row>
    <row r="23" spans="1:14" ht="27.75" customHeight="1" x14ac:dyDescent="0.3">
      <c r="A23" s="67" t="s">
        <v>57</v>
      </c>
      <c r="B23" s="67" t="s">
        <v>99</v>
      </c>
      <c r="C23" s="67" t="s">
        <v>124</v>
      </c>
      <c r="D23" s="67" t="s">
        <v>125</v>
      </c>
      <c r="E23" s="67" t="s">
        <v>126</v>
      </c>
      <c r="F23" s="67" t="s">
        <v>127</v>
      </c>
      <c r="G23" s="67" t="s">
        <v>66</v>
      </c>
      <c r="H23" s="67"/>
      <c r="I23" s="67"/>
      <c r="J23" s="67"/>
      <c r="K23" s="67"/>
      <c r="L23" s="67"/>
      <c r="M23" s="67"/>
      <c r="N23" s="67"/>
    </row>
    <row r="24" spans="1:14" ht="18" customHeight="1" x14ac:dyDescent="0.3">
      <c r="A24" s="56" t="s">
        <v>128</v>
      </c>
      <c r="B24" s="57">
        <v>15177.24</v>
      </c>
      <c r="C24" s="68">
        <v>10</v>
      </c>
      <c r="D24" s="69">
        <f>(B24*1024)/C24</f>
        <v>1554149.3759999999</v>
      </c>
      <c r="E24" s="54">
        <v>5.0000000000000001E-3</v>
      </c>
      <c r="F24" s="58">
        <f>(D24/1000)*E24</f>
        <v>7.770746879999999</v>
      </c>
      <c r="G24" s="132" t="s">
        <v>129</v>
      </c>
      <c r="H24" s="132"/>
      <c r="I24" s="132"/>
      <c r="J24" s="132"/>
      <c r="K24" s="132"/>
      <c r="L24" s="132"/>
      <c r="M24" s="132"/>
      <c r="N24" s="132"/>
    </row>
    <row r="25" spans="1:14" ht="18" customHeight="1" x14ac:dyDescent="0.3">
      <c r="A25" s="51" t="s">
        <v>130</v>
      </c>
      <c r="B25" s="53">
        <v>165555.92000000001</v>
      </c>
      <c r="C25" s="68">
        <v>50</v>
      </c>
      <c r="D25" s="70">
        <f>(B25*1024)/C25</f>
        <v>3390585.2416000003</v>
      </c>
      <c r="E25" s="54">
        <v>0.01</v>
      </c>
      <c r="F25" s="58">
        <f>(D25/1000)*E25</f>
        <v>33.905852416000002</v>
      </c>
      <c r="G25" s="131" t="s">
        <v>131</v>
      </c>
      <c r="H25" s="131"/>
      <c r="I25" s="131"/>
      <c r="J25" s="131"/>
      <c r="K25" s="131"/>
      <c r="L25" s="131"/>
      <c r="M25" s="131"/>
      <c r="N25" s="131"/>
    </row>
    <row r="26" spans="1:14" ht="18" customHeight="1" x14ac:dyDescent="0.3">
      <c r="A26" s="56" t="s">
        <v>132</v>
      </c>
      <c r="B26" s="57">
        <v>3195.69</v>
      </c>
      <c r="C26" s="68">
        <v>200</v>
      </c>
      <c r="D26" s="69">
        <f>(B26*1024)/C26</f>
        <v>16361.9328</v>
      </c>
      <c r="E26" s="54">
        <v>5.0000000000000001E-3</v>
      </c>
      <c r="F26" s="58">
        <f>(D26/1000)*E26</f>
        <v>8.1809664000000004E-2</v>
      </c>
      <c r="G26" s="132" t="s">
        <v>133</v>
      </c>
      <c r="H26" s="132"/>
      <c r="I26" s="132"/>
      <c r="J26" s="132"/>
      <c r="K26" s="132"/>
      <c r="L26" s="132"/>
      <c r="M26" s="132"/>
      <c r="N26" s="132"/>
    </row>
    <row r="27" spans="1:14" ht="18" customHeight="1" x14ac:dyDescent="0.3">
      <c r="A27" s="51" t="s">
        <v>134</v>
      </c>
      <c r="B27" s="53">
        <v>882775.79</v>
      </c>
      <c r="C27" s="68">
        <v>500</v>
      </c>
      <c r="D27" s="70">
        <f>(B27*1024)/C27</f>
        <v>1807924.8179200001</v>
      </c>
      <c r="E27" s="54">
        <v>0.05</v>
      </c>
      <c r="F27" s="71">
        <f>(D27/1000)*E27</f>
        <v>90.396240896000009</v>
      </c>
      <c r="G27" s="131" t="s">
        <v>135</v>
      </c>
      <c r="H27" s="131"/>
      <c r="I27" s="131"/>
      <c r="J27" s="131"/>
      <c r="K27" s="131"/>
      <c r="L27" s="131"/>
      <c r="M27" s="131"/>
      <c r="N27" s="131"/>
    </row>
    <row r="28" spans="1:14" ht="18" customHeight="1" x14ac:dyDescent="0.3">
      <c r="A28" s="72" t="s">
        <v>136</v>
      </c>
      <c r="B28" s="137"/>
      <c r="C28" s="137"/>
      <c r="D28" s="137"/>
      <c r="E28" s="137"/>
      <c r="F28" s="73">
        <f>SUM(F24:F27)</f>
        <v>132.15464985599999</v>
      </c>
      <c r="G28" s="137"/>
      <c r="H28" s="137"/>
      <c r="I28" s="137"/>
      <c r="J28" s="137"/>
      <c r="K28" s="137"/>
      <c r="L28" s="137"/>
      <c r="M28" s="137"/>
      <c r="N28" s="137"/>
    </row>
    <row r="29" spans="1:14" ht="18" customHeight="1" x14ac:dyDescent="0.3"/>
    <row r="30" spans="1:14" ht="18" customHeight="1" x14ac:dyDescent="0.3">
      <c r="A30" s="138" t="s">
        <v>137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</row>
    <row r="31" spans="1:14" ht="13.5" customHeight="1" x14ac:dyDescent="0.3">
      <c r="A31" s="130" t="s">
        <v>138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</row>
    <row r="32" spans="1:14" ht="27.75" customHeight="1" x14ac:dyDescent="0.3">
      <c r="A32" s="74" t="s">
        <v>139</v>
      </c>
      <c r="B32" s="74" t="s">
        <v>140</v>
      </c>
      <c r="C32" s="74" t="s">
        <v>141</v>
      </c>
      <c r="D32" s="74" t="s">
        <v>142</v>
      </c>
      <c r="E32" s="74" t="s">
        <v>143</v>
      </c>
      <c r="F32" s="74" t="s">
        <v>144</v>
      </c>
      <c r="G32" s="74"/>
      <c r="H32" s="74"/>
      <c r="I32" s="74"/>
      <c r="J32" s="74"/>
      <c r="K32" s="74"/>
      <c r="L32" s="74"/>
      <c r="M32" s="74"/>
      <c r="N32" s="74"/>
    </row>
    <row r="33" spans="1:14" ht="18" customHeight="1" x14ac:dyDescent="0.3">
      <c r="A33" s="75" t="s">
        <v>145</v>
      </c>
      <c r="B33" s="63" t="s">
        <v>146</v>
      </c>
      <c r="C33" s="76">
        <v>0</v>
      </c>
      <c r="D33" s="77">
        <f>D24+D25+D26+D27</f>
        <v>6769021.3683200004</v>
      </c>
      <c r="E33" s="78">
        <v>0</v>
      </c>
      <c r="F33" s="139" t="s">
        <v>147</v>
      </c>
      <c r="G33" s="139"/>
      <c r="H33" s="139"/>
      <c r="I33" s="139"/>
      <c r="J33" s="139"/>
      <c r="K33" s="139"/>
      <c r="L33" s="139"/>
      <c r="M33" s="139"/>
      <c r="N33" s="139"/>
    </row>
    <row r="34" spans="1:14" ht="18" customHeight="1" x14ac:dyDescent="0.3">
      <c r="A34" s="79" t="s">
        <v>148</v>
      </c>
      <c r="B34" s="80" t="s">
        <v>149</v>
      </c>
      <c r="C34" s="81">
        <v>0.01</v>
      </c>
      <c r="D34" s="82">
        <f>D25</f>
        <v>3390585.2416000003</v>
      </c>
      <c r="E34" s="83">
        <f>(D34/1000)*C34</f>
        <v>33.905852416000002</v>
      </c>
      <c r="F34" s="140" t="s">
        <v>150</v>
      </c>
      <c r="G34" s="140"/>
      <c r="H34" s="140"/>
      <c r="I34" s="140"/>
      <c r="J34" s="140"/>
      <c r="K34" s="140"/>
      <c r="L34" s="140"/>
      <c r="M34" s="140"/>
      <c r="N34" s="140"/>
    </row>
    <row r="35" spans="1:14" ht="18" customHeight="1" x14ac:dyDescent="0.3">
      <c r="A35" s="79" t="s">
        <v>151</v>
      </c>
      <c r="B35" s="80" t="s">
        <v>152</v>
      </c>
      <c r="C35" s="81">
        <v>0.02</v>
      </c>
      <c r="D35" s="82">
        <f>D26</f>
        <v>16361.9328</v>
      </c>
      <c r="E35" s="83">
        <f>(D35/1000)*C35</f>
        <v>0.32723865600000002</v>
      </c>
      <c r="F35" s="140" t="s">
        <v>150</v>
      </c>
      <c r="G35" s="140"/>
      <c r="H35" s="140"/>
      <c r="I35" s="140"/>
      <c r="J35" s="140"/>
      <c r="K35" s="140"/>
      <c r="L35" s="140"/>
      <c r="M35" s="140"/>
      <c r="N35" s="140"/>
    </row>
    <row r="36" spans="1:14" ht="18" customHeight="1" x14ac:dyDescent="0.3">
      <c r="A36" s="79" t="s">
        <v>153</v>
      </c>
      <c r="B36" s="80" t="s">
        <v>154</v>
      </c>
      <c r="C36" s="81">
        <v>0.05</v>
      </c>
      <c r="D36" s="82">
        <f>D27</f>
        <v>1807924.8179200001</v>
      </c>
      <c r="E36" s="83">
        <f>(D36/1000)*C36</f>
        <v>90.396240896000009</v>
      </c>
      <c r="F36" s="140" t="s">
        <v>155</v>
      </c>
      <c r="G36" s="140"/>
      <c r="H36" s="140"/>
      <c r="I36" s="140"/>
      <c r="J36" s="140"/>
      <c r="K36" s="140"/>
      <c r="L36" s="140"/>
      <c r="M36" s="140"/>
      <c r="N36" s="140"/>
    </row>
    <row r="37" spans="1:14" ht="18" customHeight="1" x14ac:dyDescent="0.3"/>
    <row r="38" spans="1:14" ht="18" customHeight="1" x14ac:dyDescent="0.3"/>
    <row r="39" spans="1:14" ht="18" customHeight="1" x14ac:dyDescent="0.3">
      <c r="A39" s="141" t="s">
        <v>156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</row>
    <row r="40" spans="1:14" ht="18" customHeight="1" x14ac:dyDescent="0.3">
      <c r="A40" s="51" t="s">
        <v>157</v>
      </c>
      <c r="B40" s="142"/>
      <c r="C40" s="142"/>
      <c r="D40" s="142"/>
      <c r="E40" s="84">
        <f>E12</f>
        <v>22739.262078720003</v>
      </c>
      <c r="F40" s="142"/>
      <c r="G40" s="142"/>
      <c r="H40" s="142"/>
      <c r="I40" s="142"/>
      <c r="J40" s="142"/>
      <c r="K40" s="142"/>
      <c r="L40" s="142"/>
      <c r="M40" s="142"/>
      <c r="N40" s="142"/>
    </row>
    <row r="41" spans="1:14" ht="18" customHeight="1" x14ac:dyDescent="0.3">
      <c r="A41" s="56" t="s">
        <v>158</v>
      </c>
      <c r="B41" s="143"/>
      <c r="C41" s="143"/>
      <c r="D41" s="143"/>
      <c r="E41" s="84">
        <f>H19</f>
        <v>64644.65</v>
      </c>
      <c r="F41" s="143"/>
      <c r="G41" s="143"/>
      <c r="H41" s="143"/>
      <c r="I41" s="143"/>
      <c r="J41" s="143"/>
      <c r="K41" s="143"/>
      <c r="L41" s="143"/>
      <c r="M41" s="143"/>
      <c r="N41" s="143"/>
    </row>
    <row r="42" spans="1:14" ht="18" customHeight="1" x14ac:dyDescent="0.3">
      <c r="A42" s="51" t="s">
        <v>159</v>
      </c>
      <c r="B42" s="142"/>
      <c r="C42" s="142"/>
      <c r="D42" s="142"/>
      <c r="E42" s="84">
        <f>F28</f>
        <v>132.15464985599999</v>
      </c>
      <c r="F42" s="142"/>
      <c r="G42" s="142"/>
      <c r="H42" s="142"/>
      <c r="I42" s="142"/>
      <c r="J42" s="142"/>
      <c r="K42" s="142"/>
      <c r="L42" s="142"/>
      <c r="M42" s="142"/>
      <c r="N42" s="142"/>
    </row>
    <row r="43" spans="1:14" ht="18" customHeight="1" x14ac:dyDescent="0.3">
      <c r="A43" s="56" t="s">
        <v>160</v>
      </c>
      <c r="B43" s="143"/>
      <c r="C43" s="143"/>
      <c r="D43" s="143"/>
      <c r="E43" s="85">
        <f>E33</f>
        <v>0</v>
      </c>
      <c r="F43" s="143"/>
      <c r="G43" s="143"/>
      <c r="H43" s="143"/>
      <c r="I43" s="143"/>
      <c r="J43" s="143"/>
      <c r="K43" s="143"/>
      <c r="L43" s="143"/>
      <c r="M43" s="143"/>
      <c r="N43" s="143"/>
    </row>
    <row r="44" spans="1:14" ht="18" customHeight="1" x14ac:dyDescent="0.3">
      <c r="A44" s="51" t="s">
        <v>161</v>
      </c>
      <c r="B44" s="142"/>
      <c r="C44" s="142"/>
      <c r="D44" s="142"/>
      <c r="E44" s="84">
        <f>SUM(E40:E43)*0.1</f>
        <v>8751.6066728576025</v>
      </c>
      <c r="F44" s="142"/>
      <c r="G44" s="142"/>
      <c r="H44" s="142"/>
      <c r="I44" s="142"/>
      <c r="J44" s="142"/>
      <c r="K44" s="142"/>
      <c r="L44" s="142"/>
      <c r="M44" s="142"/>
      <c r="N44" s="142"/>
    </row>
    <row r="45" spans="1:14" ht="25.5" customHeight="1" x14ac:dyDescent="0.3">
      <c r="A45" s="144" t="s">
        <v>162</v>
      </c>
      <c r="B45" s="144"/>
      <c r="C45" s="144"/>
      <c r="D45" s="144"/>
      <c r="E45" s="86">
        <f>SUM(E40:E44)</f>
        <v>96267.673401433611</v>
      </c>
      <c r="F45" s="145"/>
      <c r="G45" s="145"/>
      <c r="H45" s="145"/>
      <c r="I45" s="145"/>
      <c r="J45" s="145"/>
      <c r="K45" s="145"/>
      <c r="L45" s="145"/>
      <c r="M45" s="145"/>
      <c r="N45" s="145"/>
    </row>
    <row r="46" spans="1:14" ht="18" customHeight="1" x14ac:dyDescent="0.3"/>
    <row r="47" spans="1:14" ht="18" customHeight="1" x14ac:dyDescent="0.3">
      <c r="A47" s="125" t="s">
        <v>163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</row>
    <row r="48" spans="1:14" ht="18" customHeight="1" x14ac:dyDescent="0.3">
      <c r="A48" s="87" t="s">
        <v>164</v>
      </c>
      <c r="B48" s="146"/>
      <c r="C48" s="146"/>
      <c r="D48" s="146"/>
      <c r="E48" s="88">
        <f>E45</f>
        <v>96267.673401433611</v>
      </c>
      <c r="F48" s="146"/>
      <c r="G48" s="146"/>
      <c r="H48" s="146"/>
      <c r="I48" s="146"/>
      <c r="J48" s="146"/>
      <c r="K48" s="146"/>
      <c r="L48" s="146"/>
      <c r="M48" s="146"/>
      <c r="N48" s="146"/>
    </row>
    <row r="49" spans="1:14" ht="18" customHeight="1" x14ac:dyDescent="0.3">
      <c r="A49" s="51" t="s">
        <v>165</v>
      </c>
      <c r="B49" s="142"/>
      <c r="C49" s="142"/>
      <c r="D49" s="142"/>
      <c r="E49" s="89" t="s">
        <v>166</v>
      </c>
      <c r="F49" s="142"/>
      <c r="G49" s="142"/>
      <c r="H49" s="142"/>
      <c r="I49" s="142"/>
      <c r="J49" s="142"/>
      <c r="K49" s="142"/>
      <c r="L49" s="142"/>
      <c r="M49" s="142"/>
      <c r="N49" s="142"/>
    </row>
    <row r="50" spans="1:14" ht="18" customHeight="1" x14ac:dyDescent="0.3">
      <c r="A50" s="87" t="s">
        <v>167</v>
      </c>
      <c r="B50" s="146"/>
      <c r="C50" s="146"/>
      <c r="D50" s="146"/>
      <c r="E50" s="90">
        <f>E48/E49</f>
        <v>3.5149581350019576</v>
      </c>
      <c r="F50" s="146"/>
      <c r="G50" s="146"/>
      <c r="H50" s="146"/>
      <c r="I50" s="146"/>
      <c r="J50" s="146"/>
      <c r="K50" s="146"/>
      <c r="L50" s="146"/>
      <c r="M50" s="146"/>
      <c r="N50" s="146"/>
    </row>
    <row r="51" spans="1:14" ht="18" customHeight="1" x14ac:dyDescent="0.3">
      <c r="A51" s="51" t="s">
        <v>168</v>
      </c>
      <c r="B51" s="142"/>
      <c r="C51" s="142"/>
      <c r="D51" s="142"/>
      <c r="E51" s="89">
        <f>E49*12-E48</f>
        <v>232388.32659856637</v>
      </c>
      <c r="F51" s="142"/>
      <c r="G51" s="142"/>
      <c r="H51" s="142"/>
      <c r="I51" s="142"/>
      <c r="J51" s="142"/>
      <c r="K51" s="142"/>
      <c r="L51" s="142"/>
      <c r="M51" s="142"/>
      <c r="N51" s="142"/>
    </row>
    <row r="52" spans="1:14" ht="18" customHeight="1" x14ac:dyDescent="0.3">
      <c r="A52" s="87" t="s">
        <v>169</v>
      </c>
      <c r="B52" s="146"/>
      <c r="C52" s="146"/>
      <c r="D52" s="146"/>
      <c r="E52" s="89">
        <f>E49*36-E48</f>
        <v>889700.32659856637</v>
      </c>
      <c r="F52" s="146"/>
      <c r="G52" s="146"/>
      <c r="H52" s="146"/>
      <c r="I52" s="146"/>
      <c r="J52" s="146"/>
      <c r="K52" s="146"/>
      <c r="L52" s="146"/>
      <c r="M52" s="146"/>
      <c r="N52" s="146"/>
    </row>
    <row r="53" spans="1:14" ht="18" customHeight="1" x14ac:dyDescent="0.3"/>
    <row r="54" spans="1:14" ht="18" customHeight="1" x14ac:dyDescent="0.3"/>
    <row r="55" spans="1:14" ht="15.75" customHeight="1" x14ac:dyDescent="0.3">
      <c r="A55" s="147" t="s">
        <v>170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</row>
    <row r="56" spans="1:14" ht="25.5" customHeight="1" x14ac:dyDescent="0.3">
      <c r="A56" s="74" t="s">
        <v>171</v>
      </c>
      <c r="B56" s="74" t="s">
        <v>125</v>
      </c>
      <c r="C56" s="74" t="s">
        <v>172</v>
      </c>
      <c r="D56" s="74" t="s">
        <v>173</v>
      </c>
      <c r="E56" s="74" t="s">
        <v>174</v>
      </c>
      <c r="F56" s="74" t="s">
        <v>175</v>
      </c>
      <c r="G56" s="74"/>
      <c r="H56" s="74"/>
      <c r="I56" s="74"/>
      <c r="J56" s="74"/>
      <c r="K56" s="74"/>
      <c r="L56" s="74"/>
      <c r="M56" s="74"/>
      <c r="N56" s="74"/>
    </row>
    <row r="57" spans="1:14" ht="18" customHeight="1" x14ac:dyDescent="0.3">
      <c r="A57" s="91" t="s">
        <v>176</v>
      </c>
      <c r="B57" s="70">
        <v>903962408.96000004</v>
      </c>
      <c r="C57" s="92">
        <v>45198.120448000001</v>
      </c>
      <c r="D57" s="93">
        <v>137101.9324928</v>
      </c>
      <c r="E57" s="94">
        <v>45107.724207104002</v>
      </c>
      <c r="F57" s="95" t="s">
        <v>177</v>
      </c>
      <c r="G57" s="142"/>
      <c r="H57" s="142"/>
      <c r="I57" s="142"/>
      <c r="J57" s="142"/>
      <c r="K57" s="142"/>
      <c r="L57" s="142"/>
      <c r="M57" s="142"/>
      <c r="N57" s="142"/>
    </row>
    <row r="58" spans="1:14" ht="18" customHeight="1" x14ac:dyDescent="0.3">
      <c r="A58" s="96" t="s">
        <v>178</v>
      </c>
      <c r="B58" s="69">
        <v>90396240.895999998</v>
      </c>
      <c r="C58" s="97">
        <v>4519.8120448</v>
      </c>
      <c r="D58" s="98">
        <v>92355.793249280003</v>
      </c>
      <c r="E58" s="99">
        <v>4429.4158039040003</v>
      </c>
      <c r="F58" s="100" t="s">
        <v>177</v>
      </c>
      <c r="G58" s="143"/>
      <c r="H58" s="143"/>
      <c r="I58" s="143"/>
      <c r="J58" s="143"/>
      <c r="K58" s="143"/>
      <c r="L58" s="143"/>
      <c r="M58" s="143"/>
      <c r="N58" s="143"/>
    </row>
    <row r="59" spans="1:14" ht="18" customHeight="1" x14ac:dyDescent="0.3">
      <c r="A59" s="91" t="s">
        <v>179</v>
      </c>
      <c r="B59" s="70">
        <v>18079248.179200001</v>
      </c>
      <c r="C59" s="92">
        <v>903.96240895999995</v>
      </c>
      <c r="D59" s="93">
        <v>88378.358649856003</v>
      </c>
      <c r="E59" s="94">
        <v>813.56616806399995</v>
      </c>
      <c r="F59" s="95" t="s">
        <v>180</v>
      </c>
      <c r="G59" s="142"/>
      <c r="H59" s="142"/>
      <c r="I59" s="142"/>
      <c r="J59" s="142"/>
      <c r="K59" s="142"/>
      <c r="L59" s="142"/>
      <c r="M59" s="142"/>
      <c r="N59" s="142"/>
    </row>
    <row r="60" spans="1:14" ht="18" customHeight="1" x14ac:dyDescent="0.3">
      <c r="A60" s="96" t="s">
        <v>181</v>
      </c>
      <c r="B60" s="69">
        <v>9039624.0896000005</v>
      </c>
      <c r="C60" s="97">
        <v>451.98120447999997</v>
      </c>
      <c r="D60" s="98">
        <v>87881.179324928002</v>
      </c>
      <c r="E60" s="99">
        <v>361.58496358399998</v>
      </c>
      <c r="F60" s="100" t="s">
        <v>182</v>
      </c>
      <c r="G60" s="143"/>
      <c r="H60" s="143"/>
      <c r="I60" s="143"/>
      <c r="J60" s="143"/>
      <c r="K60" s="143"/>
      <c r="L60" s="143"/>
      <c r="M60" s="143"/>
      <c r="N60" s="143"/>
    </row>
    <row r="61" spans="1:14" ht="18" customHeight="1" x14ac:dyDescent="0.3">
      <c r="A61" s="91" t="s">
        <v>183</v>
      </c>
      <c r="B61" s="70">
        <v>3615849.6358400001</v>
      </c>
      <c r="C61" s="92">
        <v>180.79248179199999</v>
      </c>
      <c r="D61" s="93">
        <v>87582.871729971201</v>
      </c>
      <c r="E61" s="94">
        <v>90.396240895999995</v>
      </c>
      <c r="F61" s="95" t="s">
        <v>182</v>
      </c>
      <c r="G61" s="142"/>
      <c r="H61" s="142"/>
      <c r="I61" s="142"/>
      <c r="J61" s="142"/>
      <c r="K61" s="142"/>
      <c r="L61" s="142"/>
      <c r="M61" s="142"/>
      <c r="N61" s="142"/>
    </row>
    <row r="62" spans="1:14" ht="18" customHeight="1" x14ac:dyDescent="0.3">
      <c r="A62" s="101" t="s">
        <v>184</v>
      </c>
      <c r="B62" s="102">
        <v>1807924.8179200001</v>
      </c>
      <c r="C62" s="103">
        <v>90.396240895999995</v>
      </c>
      <c r="D62" s="104">
        <v>87483.4358649856</v>
      </c>
      <c r="E62" s="105">
        <v>0</v>
      </c>
      <c r="F62" s="106" t="s">
        <v>182</v>
      </c>
      <c r="G62" s="148"/>
      <c r="H62" s="148"/>
      <c r="I62" s="148"/>
      <c r="J62" s="148"/>
      <c r="K62" s="148"/>
      <c r="L62" s="148"/>
      <c r="M62" s="148"/>
      <c r="N62" s="148"/>
    </row>
    <row r="63" spans="1:14" ht="18" customHeight="1" x14ac:dyDescent="0.3">
      <c r="A63" s="91" t="s">
        <v>185</v>
      </c>
      <c r="B63" s="70">
        <v>903962.40896000003</v>
      </c>
      <c r="C63" s="92">
        <v>45.198120447999997</v>
      </c>
      <c r="D63" s="93">
        <v>87433.7179324928</v>
      </c>
      <c r="E63" s="107">
        <v>-45.198120447999997</v>
      </c>
      <c r="F63" s="95" t="s">
        <v>182</v>
      </c>
      <c r="G63" s="142"/>
      <c r="H63" s="142"/>
      <c r="I63" s="142"/>
      <c r="J63" s="142"/>
      <c r="K63" s="142"/>
      <c r="L63" s="142"/>
      <c r="M63" s="142"/>
      <c r="N63" s="142"/>
    </row>
    <row r="64" spans="1:14" ht="18" customHeight="1" x14ac:dyDescent="0.3">
      <c r="A64" s="96" t="s">
        <v>186</v>
      </c>
      <c r="B64" s="69">
        <v>451981.20448000001</v>
      </c>
      <c r="C64" s="97">
        <v>22.599060223999999</v>
      </c>
      <c r="D64" s="98">
        <v>87408.858966246393</v>
      </c>
      <c r="E64" s="108">
        <v>-67.797180671999996</v>
      </c>
      <c r="F64" s="100" t="s">
        <v>182</v>
      </c>
      <c r="G64" s="143"/>
      <c r="H64" s="143"/>
      <c r="I64" s="143"/>
      <c r="J64" s="143"/>
      <c r="K64" s="143"/>
      <c r="L64" s="143"/>
      <c r="M64" s="143"/>
      <c r="N64" s="143"/>
    </row>
  </sheetData>
  <mergeCells count="64">
    <mergeCell ref="G61:N61"/>
    <mergeCell ref="G62:N62"/>
    <mergeCell ref="G63:N63"/>
    <mergeCell ref="G64:N64"/>
    <mergeCell ref="A55:N55"/>
    <mergeCell ref="G57:N57"/>
    <mergeCell ref="G58:N58"/>
    <mergeCell ref="G59:N59"/>
    <mergeCell ref="G60:N60"/>
    <mergeCell ref="B50:D50"/>
    <mergeCell ref="F50:N50"/>
    <mergeCell ref="B51:D51"/>
    <mergeCell ref="F51:N51"/>
    <mergeCell ref="B52:D52"/>
    <mergeCell ref="F52:N52"/>
    <mergeCell ref="A47:N47"/>
    <mergeCell ref="B48:D48"/>
    <mergeCell ref="F48:N48"/>
    <mergeCell ref="B49:D49"/>
    <mergeCell ref="F49:N49"/>
    <mergeCell ref="B43:D43"/>
    <mergeCell ref="F43:N43"/>
    <mergeCell ref="B44:D44"/>
    <mergeCell ref="F44:N44"/>
    <mergeCell ref="A45:D45"/>
    <mergeCell ref="F45:N45"/>
    <mergeCell ref="B40:D40"/>
    <mergeCell ref="F40:N40"/>
    <mergeCell ref="B41:D41"/>
    <mergeCell ref="F41:N41"/>
    <mergeCell ref="B42:D42"/>
    <mergeCell ref="F42:N42"/>
    <mergeCell ref="F33:N33"/>
    <mergeCell ref="F34:N34"/>
    <mergeCell ref="F35:N35"/>
    <mergeCell ref="F36:N36"/>
    <mergeCell ref="A39:N39"/>
    <mergeCell ref="G27:N27"/>
    <mergeCell ref="B28:E28"/>
    <mergeCell ref="G28:N28"/>
    <mergeCell ref="A30:N30"/>
    <mergeCell ref="A31:N31"/>
    <mergeCell ref="A21:N21"/>
    <mergeCell ref="A22:N22"/>
    <mergeCell ref="G24:N24"/>
    <mergeCell ref="G25:N25"/>
    <mergeCell ref="G26:N26"/>
    <mergeCell ref="A14:N14"/>
    <mergeCell ref="A15:N15"/>
    <mergeCell ref="I17:N17"/>
    <mergeCell ref="I18:N18"/>
    <mergeCell ref="B19:G19"/>
    <mergeCell ref="I19:N19"/>
    <mergeCell ref="F8:N8"/>
    <mergeCell ref="F9:N9"/>
    <mergeCell ref="F10:N10"/>
    <mergeCell ref="F11:N11"/>
    <mergeCell ref="B12:D12"/>
    <mergeCell ref="F12:N12"/>
    <mergeCell ref="A1:N1"/>
    <mergeCell ref="A2:N2"/>
    <mergeCell ref="A4:N4"/>
    <mergeCell ref="A5:N5"/>
    <mergeCell ref="F7:N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28" customWidth="1"/>
    <col min="2" max="10" width="14" customWidth="1"/>
  </cols>
  <sheetData>
    <row r="1" spans="1:10" ht="24" customHeight="1" x14ac:dyDescent="0.3">
      <c r="A1" s="2" t="s">
        <v>187</v>
      </c>
      <c r="B1" s="2"/>
      <c r="C1" s="2"/>
      <c r="D1" s="2"/>
      <c r="E1" s="2"/>
      <c r="F1" s="2"/>
      <c r="G1" s="2"/>
      <c r="H1" s="2"/>
      <c r="I1" s="2"/>
      <c r="J1" s="2"/>
    </row>
    <row r="3" spans="1:10" ht="18" customHeight="1" x14ac:dyDescent="0.3">
      <c r="A3" s="125" t="s">
        <v>188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36" customHeight="1" x14ac:dyDescent="0.3">
      <c r="A4" s="109" t="s">
        <v>189</v>
      </c>
      <c r="B4" s="149" t="s">
        <v>190</v>
      </c>
      <c r="C4" s="149"/>
      <c r="D4" s="149"/>
      <c r="E4" s="149"/>
      <c r="F4" s="149"/>
      <c r="G4" s="149"/>
      <c r="H4" s="149"/>
      <c r="I4" s="149"/>
      <c r="J4" s="149"/>
    </row>
    <row r="5" spans="1:10" ht="36" customHeight="1" x14ac:dyDescent="0.3">
      <c r="A5" s="109" t="s">
        <v>191</v>
      </c>
      <c r="B5" s="149" t="s">
        <v>192</v>
      </c>
      <c r="C5" s="149"/>
      <c r="D5" s="149"/>
      <c r="E5" s="149"/>
      <c r="F5" s="149"/>
      <c r="G5" s="149"/>
      <c r="H5" s="149"/>
      <c r="I5" s="149"/>
      <c r="J5" s="149"/>
    </row>
    <row r="6" spans="1:10" ht="36" customHeight="1" x14ac:dyDescent="0.3">
      <c r="A6" s="109" t="s">
        <v>193</v>
      </c>
      <c r="B6" s="149" t="s">
        <v>194</v>
      </c>
      <c r="C6" s="149"/>
      <c r="D6" s="149"/>
      <c r="E6" s="149"/>
      <c r="F6" s="149"/>
      <c r="G6" s="149"/>
      <c r="H6" s="149"/>
      <c r="I6" s="149"/>
      <c r="J6" s="149"/>
    </row>
    <row r="7" spans="1:10" ht="36" customHeight="1" x14ac:dyDescent="0.3">
      <c r="A7" s="109" t="s">
        <v>195</v>
      </c>
      <c r="B7" s="149" t="s">
        <v>196</v>
      </c>
      <c r="C7" s="149"/>
      <c r="D7" s="149"/>
      <c r="E7" s="149"/>
      <c r="F7" s="149"/>
      <c r="G7" s="149"/>
      <c r="H7" s="149"/>
      <c r="I7" s="149"/>
      <c r="J7" s="149"/>
    </row>
    <row r="8" spans="1:10" ht="36" customHeight="1" x14ac:dyDescent="0.3">
      <c r="A8" s="109" t="s">
        <v>197</v>
      </c>
      <c r="B8" s="149" t="s">
        <v>198</v>
      </c>
      <c r="C8" s="149"/>
      <c r="D8" s="149"/>
      <c r="E8" s="149"/>
      <c r="F8" s="149"/>
      <c r="G8" s="149"/>
      <c r="H8" s="149"/>
      <c r="I8" s="149"/>
      <c r="J8" s="149"/>
    </row>
    <row r="9" spans="1:10" ht="36" customHeight="1" x14ac:dyDescent="0.3">
      <c r="A9" s="109" t="s">
        <v>199</v>
      </c>
      <c r="B9" s="149" t="s">
        <v>200</v>
      </c>
      <c r="C9" s="149"/>
      <c r="D9" s="149"/>
      <c r="E9" s="149"/>
      <c r="F9" s="149"/>
      <c r="G9" s="149"/>
      <c r="H9" s="149"/>
      <c r="I9" s="149"/>
      <c r="J9" s="149"/>
    </row>
    <row r="11" spans="1:10" ht="18" customHeight="1" x14ac:dyDescent="0.3">
      <c r="A11" s="136" t="s">
        <v>201</v>
      </c>
      <c r="B11" s="136"/>
      <c r="C11" s="136"/>
      <c r="D11" s="136"/>
      <c r="E11" s="136"/>
      <c r="F11" s="136"/>
      <c r="G11" s="136"/>
      <c r="H11" s="136"/>
      <c r="I11" s="136"/>
      <c r="J11" s="136"/>
    </row>
    <row r="12" spans="1:10" ht="36" customHeight="1" x14ac:dyDescent="0.3">
      <c r="A12" s="109" t="s">
        <v>202</v>
      </c>
      <c r="B12" s="149" t="s">
        <v>203</v>
      </c>
      <c r="C12" s="149"/>
      <c r="D12" s="149"/>
      <c r="E12" s="149"/>
      <c r="F12" s="149"/>
      <c r="G12" s="149"/>
      <c r="H12" s="149"/>
      <c r="I12" s="149"/>
      <c r="J12" s="149"/>
    </row>
    <row r="13" spans="1:10" ht="36" customHeight="1" x14ac:dyDescent="0.3">
      <c r="A13" s="109" t="s">
        <v>204</v>
      </c>
      <c r="B13" s="149" t="s">
        <v>205</v>
      </c>
      <c r="C13" s="149"/>
      <c r="D13" s="149"/>
      <c r="E13" s="149"/>
      <c r="F13" s="149"/>
      <c r="G13" s="149"/>
      <c r="H13" s="149"/>
      <c r="I13" s="149"/>
      <c r="J13" s="149"/>
    </row>
    <row r="14" spans="1:10" ht="36" customHeight="1" x14ac:dyDescent="0.3">
      <c r="A14" s="109" t="s">
        <v>206</v>
      </c>
      <c r="B14" s="149" t="s">
        <v>207</v>
      </c>
      <c r="C14" s="149"/>
      <c r="D14" s="149"/>
      <c r="E14" s="149"/>
      <c r="F14" s="149"/>
      <c r="G14" s="149"/>
      <c r="H14" s="149"/>
      <c r="I14" s="149"/>
      <c r="J14" s="149"/>
    </row>
    <row r="15" spans="1:10" ht="36" customHeight="1" x14ac:dyDescent="0.3">
      <c r="A15" s="109" t="s">
        <v>208</v>
      </c>
      <c r="B15" s="149" t="s">
        <v>209</v>
      </c>
      <c r="C15" s="149"/>
      <c r="D15" s="149"/>
      <c r="E15" s="149"/>
      <c r="F15" s="149"/>
      <c r="G15" s="149"/>
      <c r="H15" s="149"/>
      <c r="I15" s="149"/>
      <c r="J15" s="149"/>
    </row>
    <row r="16" spans="1:10" ht="36" customHeight="1" x14ac:dyDescent="0.3">
      <c r="A16" s="109" t="s">
        <v>210</v>
      </c>
      <c r="B16" s="149" t="s">
        <v>211</v>
      </c>
      <c r="C16" s="149"/>
      <c r="D16" s="149"/>
      <c r="E16" s="149"/>
      <c r="F16" s="149"/>
      <c r="G16" s="149"/>
      <c r="H16" s="149"/>
      <c r="I16" s="149"/>
      <c r="J16" s="149"/>
    </row>
    <row r="17" spans="1:10" ht="36" customHeight="1" x14ac:dyDescent="0.3">
      <c r="A17" s="109" t="s">
        <v>212</v>
      </c>
      <c r="B17" s="149" t="s">
        <v>213</v>
      </c>
      <c r="C17" s="149"/>
      <c r="D17" s="149"/>
      <c r="E17" s="149"/>
      <c r="F17" s="149"/>
      <c r="G17" s="149"/>
      <c r="H17" s="149"/>
      <c r="I17" s="149"/>
      <c r="J17" s="149"/>
    </row>
    <row r="19" spans="1:10" ht="18" customHeight="1" x14ac:dyDescent="0.3">
      <c r="A19" s="138" t="s">
        <v>214</v>
      </c>
      <c r="B19" s="138"/>
      <c r="C19" s="138"/>
      <c r="D19" s="138"/>
      <c r="E19" s="138"/>
      <c r="F19" s="138"/>
      <c r="G19" s="138"/>
      <c r="H19" s="138"/>
      <c r="I19" s="138"/>
      <c r="J19" s="138"/>
    </row>
    <row r="20" spans="1:10" ht="36" customHeight="1" x14ac:dyDescent="0.3">
      <c r="A20" s="109" t="s">
        <v>215</v>
      </c>
      <c r="B20" s="149" t="s">
        <v>216</v>
      </c>
      <c r="C20" s="149"/>
      <c r="D20" s="149"/>
      <c r="E20" s="149"/>
      <c r="F20" s="149"/>
      <c r="G20" s="149"/>
      <c r="H20" s="149"/>
      <c r="I20" s="149"/>
      <c r="J20" s="149"/>
    </row>
    <row r="21" spans="1:10" ht="36" customHeight="1" x14ac:dyDescent="0.3">
      <c r="A21" s="109" t="s">
        <v>217</v>
      </c>
      <c r="B21" s="149" t="s">
        <v>218</v>
      </c>
      <c r="C21" s="149"/>
      <c r="D21" s="149"/>
      <c r="E21" s="149"/>
      <c r="F21" s="149"/>
      <c r="G21" s="149"/>
      <c r="H21" s="149"/>
      <c r="I21" s="149"/>
      <c r="J21" s="149"/>
    </row>
    <row r="22" spans="1:10" ht="36" customHeight="1" x14ac:dyDescent="0.3">
      <c r="A22" s="109" t="s">
        <v>219</v>
      </c>
      <c r="B22" s="149" t="s">
        <v>220</v>
      </c>
      <c r="C22" s="149"/>
      <c r="D22" s="149"/>
      <c r="E22" s="149"/>
      <c r="F22" s="149"/>
      <c r="G22" s="149"/>
      <c r="H22" s="149"/>
      <c r="I22" s="149"/>
      <c r="J22" s="149"/>
    </row>
    <row r="23" spans="1:10" ht="36" customHeight="1" x14ac:dyDescent="0.3">
      <c r="A23" s="109" t="s">
        <v>144</v>
      </c>
      <c r="B23" s="149" t="s">
        <v>221</v>
      </c>
      <c r="C23" s="149"/>
      <c r="D23" s="149"/>
      <c r="E23" s="149"/>
      <c r="F23" s="149"/>
      <c r="G23" s="149"/>
      <c r="H23" s="149"/>
      <c r="I23" s="149"/>
      <c r="J23" s="149"/>
    </row>
    <row r="25" spans="1:10" ht="18" customHeight="1" x14ac:dyDescent="0.3">
      <c r="A25" s="141" t="s">
        <v>222</v>
      </c>
      <c r="B25" s="141"/>
      <c r="C25" s="141"/>
      <c r="D25" s="141"/>
      <c r="E25" s="141"/>
      <c r="F25" s="141"/>
      <c r="G25" s="141"/>
      <c r="H25" s="141"/>
      <c r="I25" s="141"/>
      <c r="J25" s="141"/>
    </row>
    <row r="26" spans="1:10" ht="36" customHeight="1" x14ac:dyDescent="0.3">
      <c r="A26" s="109" t="s">
        <v>223</v>
      </c>
      <c r="B26" s="149" t="s">
        <v>224</v>
      </c>
      <c r="C26" s="149"/>
      <c r="D26" s="149"/>
      <c r="E26" s="149"/>
      <c r="F26" s="149"/>
      <c r="G26" s="149"/>
      <c r="H26" s="149"/>
      <c r="I26" s="149"/>
      <c r="J26" s="149"/>
    </row>
    <row r="27" spans="1:10" ht="36" customHeight="1" x14ac:dyDescent="0.3">
      <c r="A27" s="109" t="s">
        <v>225</v>
      </c>
      <c r="B27" s="149" t="s">
        <v>226</v>
      </c>
      <c r="C27" s="149"/>
      <c r="D27" s="149"/>
      <c r="E27" s="149"/>
      <c r="F27" s="149"/>
      <c r="G27" s="149"/>
      <c r="H27" s="149"/>
      <c r="I27" s="149"/>
      <c r="J27" s="149"/>
    </row>
    <row r="28" spans="1:10" ht="36" customHeight="1" x14ac:dyDescent="0.3">
      <c r="A28" s="109" t="s">
        <v>227</v>
      </c>
      <c r="B28" s="149" t="s">
        <v>228</v>
      </c>
      <c r="C28" s="149"/>
      <c r="D28" s="149"/>
      <c r="E28" s="149"/>
      <c r="F28" s="149"/>
      <c r="G28" s="149"/>
      <c r="H28" s="149"/>
      <c r="I28" s="149"/>
      <c r="J28" s="149"/>
    </row>
    <row r="29" spans="1:10" ht="36" customHeight="1" x14ac:dyDescent="0.3">
      <c r="A29" s="109" t="s">
        <v>229</v>
      </c>
      <c r="B29" s="149" t="s">
        <v>230</v>
      </c>
      <c r="C29" s="149"/>
      <c r="D29" s="149"/>
      <c r="E29" s="149"/>
      <c r="F29" s="149"/>
      <c r="G29" s="149"/>
      <c r="H29" s="149"/>
      <c r="I29" s="149"/>
      <c r="J29" s="149"/>
    </row>
    <row r="30" spans="1:10" ht="36" customHeight="1" x14ac:dyDescent="0.3">
      <c r="A30" s="109" t="s">
        <v>231</v>
      </c>
      <c r="B30" s="149" t="s">
        <v>232</v>
      </c>
      <c r="C30" s="149"/>
      <c r="D30" s="149"/>
      <c r="E30" s="149"/>
      <c r="F30" s="149"/>
      <c r="G30" s="149"/>
      <c r="H30" s="149"/>
      <c r="I30" s="149"/>
      <c r="J30" s="149"/>
    </row>
    <row r="31" spans="1:10" ht="36" customHeight="1" x14ac:dyDescent="0.3">
      <c r="A31" s="109" t="s">
        <v>233</v>
      </c>
      <c r="B31" s="149" t="s">
        <v>234</v>
      </c>
      <c r="C31" s="149"/>
      <c r="D31" s="149"/>
      <c r="E31" s="149"/>
      <c r="F31" s="149"/>
      <c r="G31" s="149"/>
      <c r="H31" s="149"/>
      <c r="I31" s="149"/>
      <c r="J31" s="149"/>
    </row>
  </sheetData>
  <mergeCells count="27">
    <mergeCell ref="B30:J30"/>
    <mergeCell ref="B31:J31"/>
    <mergeCell ref="A25:J25"/>
    <mergeCell ref="B26:J26"/>
    <mergeCell ref="B27:J27"/>
    <mergeCell ref="B28:J28"/>
    <mergeCell ref="B29:J29"/>
    <mergeCell ref="A19:J19"/>
    <mergeCell ref="B20:J20"/>
    <mergeCell ref="B21:J21"/>
    <mergeCell ref="B22:J22"/>
    <mergeCell ref="B23:J23"/>
    <mergeCell ref="B13:J13"/>
    <mergeCell ref="B14:J14"/>
    <mergeCell ref="B15:J15"/>
    <mergeCell ref="B16:J16"/>
    <mergeCell ref="B17:J17"/>
    <mergeCell ref="B7:J7"/>
    <mergeCell ref="B8:J8"/>
    <mergeCell ref="B9:J9"/>
    <mergeCell ref="A11:J11"/>
    <mergeCell ref="B12:J12"/>
    <mergeCell ref="A1:J1"/>
    <mergeCell ref="A3:J3"/>
    <mergeCell ref="B4:J4"/>
    <mergeCell ref="B5:J5"/>
    <mergeCell ref="B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7"/>
  <sheetViews>
    <sheetView showGridLines="0" tabSelected="1" zoomScaleNormal="100" workbookViewId="0">
      <selection sqref="A1:N1"/>
    </sheetView>
  </sheetViews>
  <sheetFormatPr defaultColWidth="8.6640625" defaultRowHeight="14.4" x14ac:dyDescent="0.3"/>
  <cols>
    <col min="1" max="1" width="8" customWidth="1"/>
    <col min="2" max="2" width="10" customWidth="1"/>
    <col min="3" max="3" width="22" customWidth="1"/>
    <col min="4" max="4" width="24" customWidth="1"/>
    <col min="5" max="5" width="20" customWidth="1"/>
    <col min="6" max="6" width="24" customWidth="1"/>
    <col min="7" max="9" width="20" customWidth="1"/>
    <col min="10" max="10" width="22" customWidth="1"/>
  </cols>
  <sheetData>
    <row r="1" spans="1:14" ht="24" customHeight="1" x14ac:dyDescent="0.3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 customHeight="1" x14ac:dyDescent="0.3">
      <c r="A2" s="1" t="s">
        <v>236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31.5" customHeight="1" x14ac:dyDescent="0.3">
      <c r="A4" s="22" t="s">
        <v>237</v>
      </c>
      <c r="B4" s="22" t="s">
        <v>238</v>
      </c>
      <c r="C4" s="22" t="s">
        <v>239</v>
      </c>
      <c r="D4" s="22" t="s">
        <v>240</v>
      </c>
      <c r="E4" s="22" t="s">
        <v>241</v>
      </c>
      <c r="F4" s="22" t="s">
        <v>242</v>
      </c>
      <c r="G4" s="22" t="s">
        <v>243</v>
      </c>
      <c r="H4" s="22" t="s">
        <v>244</v>
      </c>
      <c r="I4" s="22" t="s">
        <v>245</v>
      </c>
      <c r="J4" s="22" t="s">
        <v>246</v>
      </c>
      <c r="K4" s="22"/>
      <c r="L4" s="22"/>
      <c r="M4" s="22"/>
      <c r="N4" s="22"/>
    </row>
    <row r="5" spans="1:14" ht="15" customHeight="1" x14ac:dyDescent="0.3">
      <c r="A5" s="25">
        <v>1</v>
      </c>
      <c r="B5" s="25" t="s">
        <v>247</v>
      </c>
      <c r="C5" s="110">
        <v>35523.120000000003</v>
      </c>
      <c r="D5" s="110">
        <f>SUM($C$5:C5)</f>
        <v>35523.120000000003</v>
      </c>
      <c r="E5" s="111">
        <v>8126</v>
      </c>
      <c r="F5" s="111">
        <f>SUM($E$5:E5)</f>
        <v>8126</v>
      </c>
      <c r="G5" s="111">
        <f t="shared" ref="G5:G40" si="0">C5-E5</f>
        <v>27397.120000000003</v>
      </c>
      <c r="H5" s="111">
        <f>SUM($G$5:G5)</f>
        <v>27397.120000000003</v>
      </c>
      <c r="I5" s="110">
        <v>12000</v>
      </c>
      <c r="J5" s="112">
        <f>H5-SUM($I$5:I5)</f>
        <v>15397.120000000003</v>
      </c>
    </row>
    <row r="6" spans="1:14" ht="15" customHeight="1" x14ac:dyDescent="0.3">
      <c r="A6" s="28">
        <v>2</v>
      </c>
      <c r="B6" s="28" t="s">
        <v>248</v>
      </c>
      <c r="C6" s="113">
        <v>35523.120000000003</v>
      </c>
      <c r="D6" s="113">
        <f>SUM($C$5:C6)</f>
        <v>71046.240000000005</v>
      </c>
      <c r="E6" s="114">
        <v>8126</v>
      </c>
      <c r="F6" s="114">
        <f>SUM($E$5:E6)</f>
        <v>16252</v>
      </c>
      <c r="G6" s="114">
        <f t="shared" si="0"/>
        <v>27397.120000000003</v>
      </c>
      <c r="H6" s="114">
        <f>SUM($G$5:G6)</f>
        <v>54794.240000000005</v>
      </c>
      <c r="I6" s="113">
        <v>0</v>
      </c>
      <c r="J6" s="115">
        <f>H6-SUM($I$5:I6)</f>
        <v>42794.240000000005</v>
      </c>
    </row>
    <row r="7" spans="1:14" ht="15" customHeight="1" x14ac:dyDescent="0.3">
      <c r="A7" s="25">
        <v>3</v>
      </c>
      <c r="B7" s="25" t="s">
        <v>249</v>
      </c>
      <c r="C7" s="110">
        <v>35523.120000000003</v>
      </c>
      <c r="D7" s="110">
        <f>SUM($C$5:C7)</f>
        <v>106569.36000000002</v>
      </c>
      <c r="E7" s="111">
        <v>8126</v>
      </c>
      <c r="F7" s="111">
        <f>SUM($E$5:E7)</f>
        <v>24378</v>
      </c>
      <c r="G7" s="111">
        <f t="shared" si="0"/>
        <v>27397.120000000003</v>
      </c>
      <c r="H7" s="111">
        <f>SUM($G$5:G7)</f>
        <v>82191.360000000015</v>
      </c>
      <c r="I7" s="110">
        <v>0</v>
      </c>
      <c r="J7" s="112">
        <f>H7-SUM($I$5:I7)</f>
        <v>70191.360000000015</v>
      </c>
    </row>
    <row r="8" spans="1:14" ht="15" customHeight="1" x14ac:dyDescent="0.3">
      <c r="A8" s="28">
        <v>4</v>
      </c>
      <c r="B8" s="28" t="s">
        <v>250</v>
      </c>
      <c r="C8" s="113">
        <v>35523.120000000003</v>
      </c>
      <c r="D8" s="113">
        <f>SUM($C$5:C8)</f>
        <v>142092.48000000001</v>
      </c>
      <c r="E8" s="114">
        <v>8126</v>
      </c>
      <c r="F8" s="114">
        <f>SUM($E$5:E8)</f>
        <v>32504</v>
      </c>
      <c r="G8" s="114">
        <f t="shared" si="0"/>
        <v>27397.120000000003</v>
      </c>
      <c r="H8" s="114">
        <f>SUM($G$5:G8)</f>
        <v>109588.48000000001</v>
      </c>
      <c r="I8" s="113">
        <v>0</v>
      </c>
      <c r="J8" s="115">
        <f>H8-SUM($I$5:I8)</f>
        <v>97588.48000000001</v>
      </c>
    </row>
    <row r="9" spans="1:14" ht="15" customHeight="1" x14ac:dyDescent="0.3">
      <c r="A9" s="25">
        <v>5</v>
      </c>
      <c r="B9" s="25" t="s">
        <v>251</v>
      </c>
      <c r="C9" s="110">
        <v>35523.120000000003</v>
      </c>
      <c r="D9" s="110">
        <f>SUM($C$5:C9)</f>
        <v>177615.6</v>
      </c>
      <c r="E9" s="111">
        <v>8126</v>
      </c>
      <c r="F9" s="111">
        <f>SUM($E$5:E9)</f>
        <v>40630</v>
      </c>
      <c r="G9" s="111">
        <f t="shared" si="0"/>
        <v>27397.120000000003</v>
      </c>
      <c r="H9" s="111">
        <f>SUM($G$5:G9)</f>
        <v>136985.60000000001</v>
      </c>
      <c r="I9" s="110">
        <v>0</v>
      </c>
      <c r="J9" s="112">
        <f>H9-SUM($I$5:I9)</f>
        <v>124985.60000000001</v>
      </c>
    </row>
    <row r="10" spans="1:14" ht="15" customHeight="1" x14ac:dyDescent="0.3">
      <c r="A10" s="28">
        <v>6</v>
      </c>
      <c r="B10" s="28" t="s">
        <v>252</v>
      </c>
      <c r="C10" s="113">
        <v>35523.120000000003</v>
      </c>
      <c r="D10" s="113">
        <f>SUM($C$5:C10)</f>
        <v>213138.72</v>
      </c>
      <c r="E10" s="114">
        <v>8126</v>
      </c>
      <c r="F10" s="114">
        <f>SUM($E$5:E10)</f>
        <v>48756</v>
      </c>
      <c r="G10" s="114">
        <f t="shared" si="0"/>
        <v>27397.120000000003</v>
      </c>
      <c r="H10" s="114">
        <f>SUM($G$5:G10)</f>
        <v>164382.72</v>
      </c>
      <c r="I10" s="113">
        <v>0</v>
      </c>
      <c r="J10" s="115">
        <f>H10-SUM($I$5:I10)</f>
        <v>152382.72</v>
      </c>
    </row>
    <row r="11" spans="1:14" ht="15" customHeight="1" x14ac:dyDescent="0.3">
      <c r="A11" s="25">
        <v>7</v>
      </c>
      <c r="B11" s="25" t="s">
        <v>253</v>
      </c>
      <c r="C11" s="110">
        <v>35523.120000000003</v>
      </c>
      <c r="D11" s="110">
        <f>SUM($C$5:C11)</f>
        <v>248661.84</v>
      </c>
      <c r="E11" s="111">
        <v>8126</v>
      </c>
      <c r="F11" s="111">
        <f>SUM($E$5:E11)</f>
        <v>56882</v>
      </c>
      <c r="G11" s="111">
        <f t="shared" si="0"/>
        <v>27397.120000000003</v>
      </c>
      <c r="H11" s="111">
        <f>SUM($G$5:G11)</f>
        <v>191779.84</v>
      </c>
      <c r="I11" s="110">
        <v>0</v>
      </c>
      <c r="J11" s="112">
        <f>H11-SUM($I$5:I11)</f>
        <v>179779.84</v>
      </c>
    </row>
    <row r="12" spans="1:14" ht="15" customHeight="1" x14ac:dyDescent="0.3">
      <c r="A12" s="28">
        <v>8</v>
      </c>
      <c r="B12" s="28" t="s">
        <v>254</v>
      </c>
      <c r="C12" s="113">
        <v>35523.120000000003</v>
      </c>
      <c r="D12" s="113">
        <f>SUM($C$5:C12)</f>
        <v>284184.96000000002</v>
      </c>
      <c r="E12" s="114">
        <v>8126</v>
      </c>
      <c r="F12" s="114">
        <f>SUM($E$5:E12)</f>
        <v>65008</v>
      </c>
      <c r="G12" s="114">
        <f t="shared" si="0"/>
        <v>27397.120000000003</v>
      </c>
      <c r="H12" s="114">
        <f>SUM($G$5:G12)</f>
        <v>219176.95999999999</v>
      </c>
      <c r="I12" s="113">
        <v>0</v>
      </c>
      <c r="J12" s="115">
        <f>H12-SUM($I$5:I12)</f>
        <v>207176.95999999999</v>
      </c>
    </row>
    <row r="13" spans="1:14" ht="15" customHeight="1" x14ac:dyDescent="0.3">
      <c r="A13" s="25">
        <v>9</v>
      </c>
      <c r="B13" s="25" t="s">
        <v>255</v>
      </c>
      <c r="C13" s="110">
        <v>35523.120000000003</v>
      </c>
      <c r="D13" s="110">
        <f>SUM($C$5:C13)</f>
        <v>319708.08</v>
      </c>
      <c r="E13" s="111">
        <v>8126</v>
      </c>
      <c r="F13" s="111">
        <f>SUM($E$5:E13)</f>
        <v>73134</v>
      </c>
      <c r="G13" s="111">
        <f t="shared" si="0"/>
        <v>27397.120000000003</v>
      </c>
      <c r="H13" s="111">
        <f>SUM($G$5:G13)</f>
        <v>246574.07999999999</v>
      </c>
      <c r="I13" s="110">
        <v>0</v>
      </c>
      <c r="J13" s="112">
        <f>H13-SUM($I$5:I13)</f>
        <v>234574.07999999999</v>
      </c>
    </row>
    <row r="14" spans="1:14" ht="15" customHeight="1" x14ac:dyDescent="0.3">
      <c r="A14" s="28">
        <v>10</v>
      </c>
      <c r="B14" s="28" t="s">
        <v>256</v>
      </c>
      <c r="C14" s="113">
        <v>35523.120000000003</v>
      </c>
      <c r="D14" s="113">
        <f>SUM($C$5:C14)</f>
        <v>355231.2</v>
      </c>
      <c r="E14" s="114">
        <v>8126</v>
      </c>
      <c r="F14" s="114">
        <f>SUM($E$5:E14)</f>
        <v>81260</v>
      </c>
      <c r="G14" s="114">
        <f t="shared" si="0"/>
        <v>27397.120000000003</v>
      </c>
      <c r="H14" s="114">
        <f>SUM($G$5:G14)</f>
        <v>273971.20000000001</v>
      </c>
      <c r="I14" s="113">
        <v>0</v>
      </c>
      <c r="J14" s="115">
        <f>H14-SUM($I$5:I14)</f>
        <v>261971.20000000001</v>
      </c>
    </row>
    <row r="15" spans="1:14" ht="15" customHeight="1" x14ac:dyDescent="0.3">
      <c r="A15" s="25">
        <v>11</v>
      </c>
      <c r="B15" s="25" t="s">
        <v>257</v>
      </c>
      <c r="C15" s="110">
        <v>35523.120000000003</v>
      </c>
      <c r="D15" s="110">
        <f>SUM($C$5:C15)</f>
        <v>390754.32</v>
      </c>
      <c r="E15" s="111">
        <v>8126</v>
      </c>
      <c r="F15" s="111">
        <f>SUM($E$5:E15)</f>
        <v>89386</v>
      </c>
      <c r="G15" s="111">
        <f t="shared" si="0"/>
        <v>27397.120000000003</v>
      </c>
      <c r="H15" s="111">
        <f>SUM($G$5:G15)</f>
        <v>301368.32000000001</v>
      </c>
      <c r="I15" s="110">
        <v>0</v>
      </c>
      <c r="J15" s="112">
        <f>H15-SUM($I$5:I15)</f>
        <v>289368.32000000001</v>
      </c>
    </row>
    <row r="16" spans="1:14" ht="15" customHeight="1" x14ac:dyDescent="0.3">
      <c r="A16" s="116">
        <v>12</v>
      </c>
      <c r="B16" s="116" t="s">
        <v>258</v>
      </c>
      <c r="C16" s="117">
        <v>35523.120000000003</v>
      </c>
      <c r="D16" s="117">
        <f>SUM($C$5:C16)</f>
        <v>426277.44</v>
      </c>
      <c r="E16" s="118">
        <v>8126</v>
      </c>
      <c r="F16" s="118">
        <f>SUM($E$5:E16)</f>
        <v>97512</v>
      </c>
      <c r="G16" s="118">
        <f t="shared" si="0"/>
        <v>27397.120000000003</v>
      </c>
      <c r="H16" s="118">
        <f>SUM($G$5:G16)</f>
        <v>328765.44</v>
      </c>
      <c r="I16" s="117">
        <v>0</v>
      </c>
      <c r="J16" s="119">
        <f>H16-SUM($I$5:I16)</f>
        <v>316765.44</v>
      </c>
    </row>
    <row r="17" spans="1:10" ht="15" customHeight="1" x14ac:dyDescent="0.3">
      <c r="A17" s="25">
        <v>13</v>
      </c>
      <c r="B17" s="25" t="s">
        <v>259</v>
      </c>
      <c r="C17" s="110">
        <v>37299.275999999998</v>
      </c>
      <c r="D17" s="110">
        <f>SUM($C$5:C17)</f>
        <v>463576.71600000001</v>
      </c>
      <c r="E17" s="111">
        <v>8532.2999999999993</v>
      </c>
      <c r="F17" s="111">
        <f>SUM($E$5:E17)</f>
        <v>106044.3</v>
      </c>
      <c r="G17" s="111">
        <f t="shared" si="0"/>
        <v>28766.975999999999</v>
      </c>
      <c r="H17" s="111">
        <f>SUM($G$5:G17)</f>
        <v>357532.41600000003</v>
      </c>
      <c r="I17" s="110">
        <v>0</v>
      </c>
      <c r="J17" s="112">
        <f>H17-SUM($I$5:I17)</f>
        <v>345532.41600000003</v>
      </c>
    </row>
    <row r="18" spans="1:10" ht="15" customHeight="1" x14ac:dyDescent="0.3">
      <c r="A18" s="28">
        <v>14</v>
      </c>
      <c r="B18" s="28" t="s">
        <v>260</v>
      </c>
      <c r="C18" s="113">
        <v>37299.275999999998</v>
      </c>
      <c r="D18" s="113">
        <f>SUM($C$5:C18)</f>
        <v>500875.99200000003</v>
      </c>
      <c r="E18" s="114">
        <v>8532.2999999999993</v>
      </c>
      <c r="F18" s="114">
        <f>SUM($E$5:E18)</f>
        <v>114576.6</v>
      </c>
      <c r="G18" s="114">
        <f t="shared" si="0"/>
        <v>28766.975999999999</v>
      </c>
      <c r="H18" s="114">
        <f>SUM($G$5:G18)</f>
        <v>386299.39200000005</v>
      </c>
      <c r="I18" s="113">
        <v>0</v>
      </c>
      <c r="J18" s="115">
        <f>H18-SUM($I$5:I18)</f>
        <v>374299.39200000005</v>
      </c>
    </row>
    <row r="19" spans="1:10" ht="15" customHeight="1" x14ac:dyDescent="0.3">
      <c r="A19" s="25">
        <v>15</v>
      </c>
      <c r="B19" s="25" t="s">
        <v>261</v>
      </c>
      <c r="C19" s="110">
        <v>37299.275999999998</v>
      </c>
      <c r="D19" s="110">
        <f>SUM($C$5:C19)</f>
        <v>538175.26800000004</v>
      </c>
      <c r="E19" s="111">
        <v>8532.2999999999993</v>
      </c>
      <c r="F19" s="111">
        <f>SUM($E$5:E19)</f>
        <v>123108.90000000001</v>
      </c>
      <c r="G19" s="111">
        <f t="shared" si="0"/>
        <v>28766.975999999999</v>
      </c>
      <c r="H19" s="111">
        <f>SUM($G$5:G19)</f>
        <v>415066.36800000007</v>
      </c>
      <c r="I19" s="110">
        <v>0</v>
      </c>
      <c r="J19" s="112">
        <f>H19-SUM($I$5:I19)</f>
        <v>403066.36800000007</v>
      </c>
    </row>
    <row r="20" spans="1:10" ht="15" customHeight="1" x14ac:dyDescent="0.3">
      <c r="A20" s="28">
        <v>16</v>
      </c>
      <c r="B20" s="28" t="s">
        <v>262</v>
      </c>
      <c r="C20" s="113">
        <v>37299.275999999998</v>
      </c>
      <c r="D20" s="113">
        <f>SUM($C$5:C20)</f>
        <v>575474.54399999999</v>
      </c>
      <c r="E20" s="114">
        <v>8532.2999999999993</v>
      </c>
      <c r="F20" s="114">
        <f>SUM($E$5:E20)</f>
        <v>131641.20000000001</v>
      </c>
      <c r="G20" s="114">
        <f t="shared" si="0"/>
        <v>28766.975999999999</v>
      </c>
      <c r="H20" s="114">
        <f>SUM($G$5:G20)</f>
        <v>443833.3440000001</v>
      </c>
      <c r="I20" s="113">
        <v>0</v>
      </c>
      <c r="J20" s="115">
        <f>H20-SUM($I$5:I20)</f>
        <v>431833.3440000001</v>
      </c>
    </row>
    <row r="21" spans="1:10" ht="15" customHeight="1" x14ac:dyDescent="0.3">
      <c r="A21" s="25">
        <v>17</v>
      </c>
      <c r="B21" s="25" t="s">
        <v>263</v>
      </c>
      <c r="C21" s="110">
        <v>37299.275999999998</v>
      </c>
      <c r="D21" s="110">
        <f>SUM($C$5:C21)</f>
        <v>612773.81999999995</v>
      </c>
      <c r="E21" s="111">
        <v>8532.2999999999993</v>
      </c>
      <c r="F21" s="111">
        <f>SUM($E$5:E21)</f>
        <v>140173.5</v>
      </c>
      <c r="G21" s="111">
        <f t="shared" si="0"/>
        <v>28766.975999999999</v>
      </c>
      <c r="H21" s="111">
        <f>SUM($G$5:G21)</f>
        <v>472600.32000000012</v>
      </c>
      <c r="I21" s="110">
        <v>0</v>
      </c>
      <c r="J21" s="112">
        <f>H21-SUM($I$5:I21)</f>
        <v>460600.32000000012</v>
      </c>
    </row>
    <row r="22" spans="1:10" ht="15" customHeight="1" x14ac:dyDescent="0.3">
      <c r="A22" s="28">
        <v>18</v>
      </c>
      <c r="B22" s="28" t="s">
        <v>264</v>
      </c>
      <c r="C22" s="113">
        <v>37299.275999999998</v>
      </c>
      <c r="D22" s="113">
        <f>SUM($C$5:C22)</f>
        <v>650073.0959999999</v>
      </c>
      <c r="E22" s="114">
        <v>8532.2999999999993</v>
      </c>
      <c r="F22" s="114">
        <f>SUM($E$5:E22)</f>
        <v>148705.79999999999</v>
      </c>
      <c r="G22" s="114">
        <f t="shared" si="0"/>
        <v>28766.975999999999</v>
      </c>
      <c r="H22" s="114">
        <f>SUM($G$5:G22)</f>
        <v>501367.29600000015</v>
      </c>
      <c r="I22" s="113">
        <v>0</v>
      </c>
      <c r="J22" s="115">
        <f>H22-SUM($I$5:I22)</f>
        <v>489367.29600000015</v>
      </c>
    </row>
    <row r="23" spans="1:10" ht="15" customHeight="1" x14ac:dyDescent="0.3">
      <c r="A23" s="25">
        <v>19</v>
      </c>
      <c r="B23" s="25" t="s">
        <v>265</v>
      </c>
      <c r="C23" s="110">
        <v>37299.275999999998</v>
      </c>
      <c r="D23" s="110">
        <f>SUM($C$5:C23)</f>
        <v>687372.37199999986</v>
      </c>
      <c r="E23" s="111">
        <v>8532.2999999999993</v>
      </c>
      <c r="F23" s="111">
        <f>SUM($E$5:E23)</f>
        <v>157238.09999999998</v>
      </c>
      <c r="G23" s="111">
        <f t="shared" si="0"/>
        <v>28766.975999999999</v>
      </c>
      <c r="H23" s="111">
        <f>SUM($G$5:G23)</f>
        <v>530134.27200000011</v>
      </c>
      <c r="I23" s="110">
        <v>0</v>
      </c>
      <c r="J23" s="112">
        <f>H23-SUM($I$5:I23)</f>
        <v>518134.27200000011</v>
      </c>
    </row>
    <row r="24" spans="1:10" ht="15" customHeight="1" x14ac:dyDescent="0.3">
      <c r="A24" s="28">
        <v>20</v>
      </c>
      <c r="B24" s="28" t="s">
        <v>266</v>
      </c>
      <c r="C24" s="113">
        <v>37299.275999999998</v>
      </c>
      <c r="D24" s="113">
        <f>SUM($C$5:C24)</f>
        <v>724671.64799999981</v>
      </c>
      <c r="E24" s="114">
        <v>8532.2999999999993</v>
      </c>
      <c r="F24" s="114">
        <f>SUM($E$5:E24)</f>
        <v>165770.39999999997</v>
      </c>
      <c r="G24" s="114">
        <f t="shared" si="0"/>
        <v>28766.975999999999</v>
      </c>
      <c r="H24" s="114">
        <f>SUM($G$5:G24)</f>
        <v>558901.24800000014</v>
      </c>
      <c r="I24" s="113">
        <v>0</v>
      </c>
      <c r="J24" s="115">
        <f>H24-SUM($I$5:I24)</f>
        <v>546901.24800000014</v>
      </c>
    </row>
    <row r="25" spans="1:10" ht="15" customHeight="1" x14ac:dyDescent="0.3">
      <c r="A25" s="25">
        <v>21</v>
      </c>
      <c r="B25" s="25" t="s">
        <v>267</v>
      </c>
      <c r="C25" s="110">
        <v>37299.275999999998</v>
      </c>
      <c r="D25" s="110">
        <f>SUM($C$5:C25)</f>
        <v>761970.92399999977</v>
      </c>
      <c r="E25" s="111">
        <v>8532.2999999999993</v>
      </c>
      <c r="F25" s="111">
        <f>SUM($E$5:E25)</f>
        <v>174302.69999999995</v>
      </c>
      <c r="G25" s="111">
        <f t="shared" si="0"/>
        <v>28766.975999999999</v>
      </c>
      <c r="H25" s="111">
        <f>SUM($G$5:G25)</f>
        <v>587668.22400000016</v>
      </c>
      <c r="I25" s="110">
        <v>0</v>
      </c>
      <c r="J25" s="112">
        <f>H25-SUM($I$5:I25)</f>
        <v>575668.22400000016</v>
      </c>
    </row>
    <row r="26" spans="1:10" ht="15" customHeight="1" x14ac:dyDescent="0.3">
      <c r="A26" s="28">
        <v>22</v>
      </c>
      <c r="B26" s="28" t="s">
        <v>268</v>
      </c>
      <c r="C26" s="113">
        <v>37299.275999999998</v>
      </c>
      <c r="D26" s="113">
        <f>SUM($C$5:C26)</f>
        <v>799270.19999999972</v>
      </c>
      <c r="E26" s="114">
        <v>8532.2999999999993</v>
      </c>
      <c r="F26" s="114">
        <f>SUM($E$5:E26)</f>
        <v>182834.99999999994</v>
      </c>
      <c r="G26" s="114">
        <f t="shared" si="0"/>
        <v>28766.975999999999</v>
      </c>
      <c r="H26" s="114">
        <f>SUM($G$5:G26)</f>
        <v>616435.20000000019</v>
      </c>
      <c r="I26" s="113">
        <v>0</v>
      </c>
      <c r="J26" s="115">
        <f>H26-SUM($I$5:I26)</f>
        <v>604435.20000000019</v>
      </c>
    </row>
    <row r="27" spans="1:10" ht="15" customHeight="1" x14ac:dyDescent="0.3">
      <c r="A27" s="25">
        <v>23</v>
      </c>
      <c r="B27" s="25" t="s">
        <v>269</v>
      </c>
      <c r="C27" s="110">
        <v>37299.275999999998</v>
      </c>
      <c r="D27" s="110">
        <f>SUM($C$5:C27)</f>
        <v>836569.47599999967</v>
      </c>
      <c r="E27" s="111">
        <v>8532.2999999999993</v>
      </c>
      <c r="F27" s="111">
        <f>SUM($E$5:E27)</f>
        <v>191367.29999999993</v>
      </c>
      <c r="G27" s="111">
        <f t="shared" si="0"/>
        <v>28766.975999999999</v>
      </c>
      <c r="H27" s="111">
        <f>SUM($G$5:G27)</f>
        <v>645202.17600000021</v>
      </c>
      <c r="I27" s="110">
        <v>0</v>
      </c>
      <c r="J27" s="112">
        <f>H27-SUM($I$5:I27)</f>
        <v>633202.17600000021</v>
      </c>
    </row>
    <row r="28" spans="1:10" ht="15" customHeight="1" x14ac:dyDescent="0.3">
      <c r="A28" s="116">
        <v>24</v>
      </c>
      <c r="B28" s="116" t="s">
        <v>270</v>
      </c>
      <c r="C28" s="117">
        <v>37299.275999999998</v>
      </c>
      <c r="D28" s="117">
        <f>SUM($C$5:C28)</f>
        <v>873868.75199999963</v>
      </c>
      <c r="E28" s="118">
        <v>8532.2999999999993</v>
      </c>
      <c r="F28" s="118">
        <f>SUM($E$5:E28)</f>
        <v>199899.59999999992</v>
      </c>
      <c r="G28" s="118">
        <f t="shared" si="0"/>
        <v>28766.975999999999</v>
      </c>
      <c r="H28" s="118">
        <f>SUM($G$5:G28)</f>
        <v>673969.15200000023</v>
      </c>
      <c r="I28" s="117">
        <v>0</v>
      </c>
      <c r="J28" s="119">
        <f>H28-SUM($I$5:I28)</f>
        <v>661969.15200000023</v>
      </c>
    </row>
    <row r="29" spans="1:10" ht="15" customHeight="1" x14ac:dyDescent="0.3">
      <c r="A29" s="25">
        <v>25</v>
      </c>
      <c r="B29" s="25" t="s">
        <v>271</v>
      </c>
      <c r="C29" s="110">
        <v>39164.239800000003</v>
      </c>
      <c r="D29" s="110">
        <f>SUM($C$5:C29)</f>
        <v>913032.99179999961</v>
      </c>
      <c r="E29" s="111">
        <v>8958.9150000000009</v>
      </c>
      <c r="F29" s="111">
        <f>SUM($E$5:E29)</f>
        <v>208858.51499999993</v>
      </c>
      <c r="G29" s="111">
        <f t="shared" si="0"/>
        <v>30205.324800000002</v>
      </c>
      <c r="H29" s="111">
        <f>SUM($G$5:G29)</f>
        <v>704174.4768000003</v>
      </c>
      <c r="I29" s="110">
        <v>0</v>
      </c>
      <c r="J29" s="112">
        <f>H29-SUM($I$5:I29)</f>
        <v>692174.4768000003</v>
      </c>
    </row>
    <row r="30" spans="1:10" ht="15" customHeight="1" x14ac:dyDescent="0.3">
      <c r="A30" s="28">
        <v>26</v>
      </c>
      <c r="B30" s="28" t="s">
        <v>272</v>
      </c>
      <c r="C30" s="113">
        <v>39164.239800000003</v>
      </c>
      <c r="D30" s="113">
        <f>SUM($C$5:C30)</f>
        <v>952197.23159999959</v>
      </c>
      <c r="E30" s="114">
        <v>8958.9150000000009</v>
      </c>
      <c r="F30" s="114">
        <f>SUM($E$5:E30)</f>
        <v>217817.42999999993</v>
      </c>
      <c r="G30" s="114">
        <f t="shared" si="0"/>
        <v>30205.324800000002</v>
      </c>
      <c r="H30" s="114">
        <f>SUM($G$5:G30)</f>
        <v>734379.80160000036</v>
      </c>
      <c r="I30" s="113">
        <v>0</v>
      </c>
      <c r="J30" s="115">
        <f>H30-SUM($I$5:I30)</f>
        <v>722379.80160000036</v>
      </c>
    </row>
    <row r="31" spans="1:10" ht="15" customHeight="1" x14ac:dyDescent="0.3">
      <c r="A31" s="25">
        <v>27</v>
      </c>
      <c r="B31" s="25" t="s">
        <v>273</v>
      </c>
      <c r="C31" s="110">
        <v>39164.239800000003</v>
      </c>
      <c r="D31" s="110">
        <f>SUM($C$5:C31)</f>
        <v>991361.47139999957</v>
      </c>
      <c r="E31" s="111">
        <v>8958.9150000000009</v>
      </c>
      <c r="F31" s="111">
        <f>SUM($E$5:E31)</f>
        <v>226776.34499999994</v>
      </c>
      <c r="G31" s="111">
        <f t="shared" si="0"/>
        <v>30205.324800000002</v>
      </c>
      <c r="H31" s="111">
        <f>SUM($G$5:G31)</f>
        <v>764585.12640000042</v>
      </c>
      <c r="I31" s="110">
        <v>0</v>
      </c>
      <c r="J31" s="112">
        <f>H31-SUM($I$5:I31)</f>
        <v>752585.12640000042</v>
      </c>
    </row>
    <row r="32" spans="1:10" ht="15" customHeight="1" x14ac:dyDescent="0.3">
      <c r="A32" s="28">
        <v>28</v>
      </c>
      <c r="B32" s="28" t="s">
        <v>274</v>
      </c>
      <c r="C32" s="113">
        <v>39164.239800000003</v>
      </c>
      <c r="D32" s="113">
        <f>SUM($C$5:C32)</f>
        <v>1030525.7111999996</v>
      </c>
      <c r="E32" s="114">
        <v>8958.9150000000009</v>
      </c>
      <c r="F32" s="114">
        <f>SUM($E$5:E32)</f>
        <v>235735.25999999995</v>
      </c>
      <c r="G32" s="114">
        <f t="shared" si="0"/>
        <v>30205.324800000002</v>
      </c>
      <c r="H32" s="114">
        <f>SUM($G$5:G32)</f>
        <v>794790.45120000048</v>
      </c>
      <c r="I32" s="113">
        <v>0</v>
      </c>
      <c r="J32" s="115">
        <f>H32-SUM($I$5:I32)</f>
        <v>782790.45120000048</v>
      </c>
    </row>
    <row r="33" spans="1:14" ht="15" customHeight="1" x14ac:dyDescent="0.3">
      <c r="A33" s="25">
        <v>29</v>
      </c>
      <c r="B33" s="25" t="s">
        <v>275</v>
      </c>
      <c r="C33" s="110">
        <v>39164.239800000003</v>
      </c>
      <c r="D33" s="110">
        <f>SUM($C$5:C33)</f>
        <v>1069689.9509999997</v>
      </c>
      <c r="E33" s="111">
        <v>8958.9150000000009</v>
      </c>
      <c r="F33" s="111">
        <f>SUM($E$5:E33)</f>
        <v>244694.17499999996</v>
      </c>
      <c r="G33" s="111">
        <f t="shared" si="0"/>
        <v>30205.324800000002</v>
      </c>
      <c r="H33" s="111">
        <f>SUM($G$5:G33)</f>
        <v>824995.77600000054</v>
      </c>
      <c r="I33" s="110">
        <v>0</v>
      </c>
      <c r="J33" s="112">
        <f>H33-SUM($I$5:I33)</f>
        <v>812995.77600000054</v>
      </c>
    </row>
    <row r="34" spans="1:14" ht="15" customHeight="1" x14ac:dyDescent="0.3">
      <c r="A34" s="28">
        <v>30</v>
      </c>
      <c r="B34" s="28" t="s">
        <v>276</v>
      </c>
      <c r="C34" s="113">
        <v>39164.239800000003</v>
      </c>
      <c r="D34" s="113">
        <f>SUM($C$5:C34)</f>
        <v>1108854.1907999997</v>
      </c>
      <c r="E34" s="114">
        <v>8958.9150000000009</v>
      </c>
      <c r="F34" s="114">
        <f>SUM($E$5:E34)</f>
        <v>253653.08999999997</v>
      </c>
      <c r="G34" s="114">
        <f t="shared" si="0"/>
        <v>30205.324800000002</v>
      </c>
      <c r="H34" s="114">
        <f>SUM($G$5:G34)</f>
        <v>855201.1008000006</v>
      </c>
      <c r="I34" s="113">
        <v>0</v>
      </c>
      <c r="J34" s="115">
        <f>H34-SUM($I$5:I34)</f>
        <v>843201.1008000006</v>
      </c>
    </row>
    <row r="35" spans="1:14" ht="15" customHeight="1" x14ac:dyDescent="0.3">
      <c r="A35" s="25">
        <v>31</v>
      </c>
      <c r="B35" s="25" t="s">
        <v>277</v>
      </c>
      <c r="C35" s="110">
        <v>39164.239800000003</v>
      </c>
      <c r="D35" s="110">
        <f>SUM($C$5:C35)</f>
        <v>1148018.4305999998</v>
      </c>
      <c r="E35" s="111">
        <v>8958.9150000000009</v>
      </c>
      <c r="F35" s="111">
        <f>SUM($E$5:E35)</f>
        <v>262612.00499999995</v>
      </c>
      <c r="G35" s="111">
        <f t="shared" si="0"/>
        <v>30205.324800000002</v>
      </c>
      <c r="H35" s="111">
        <f>SUM($G$5:G35)</f>
        <v>885406.42560000066</v>
      </c>
      <c r="I35" s="110">
        <v>0</v>
      </c>
      <c r="J35" s="112">
        <f>H35-SUM($I$5:I35)</f>
        <v>873406.42560000066</v>
      </c>
    </row>
    <row r="36" spans="1:14" ht="15" customHeight="1" x14ac:dyDescent="0.3">
      <c r="A36" s="28">
        <v>32</v>
      </c>
      <c r="B36" s="28" t="s">
        <v>278</v>
      </c>
      <c r="C36" s="113">
        <v>39164.239800000003</v>
      </c>
      <c r="D36" s="113">
        <f>SUM($C$5:C36)</f>
        <v>1187182.6703999999</v>
      </c>
      <c r="E36" s="114">
        <v>8958.9150000000009</v>
      </c>
      <c r="F36" s="114">
        <f>SUM($E$5:E36)</f>
        <v>271570.91999999993</v>
      </c>
      <c r="G36" s="114">
        <f t="shared" si="0"/>
        <v>30205.324800000002</v>
      </c>
      <c r="H36" s="114">
        <f>SUM($G$5:G36)</f>
        <v>915611.75040000072</v>
      </c>
      <c r="I36" s="113">
        <v>0</v>
      </c>
      <c r="J36" s="115">
        <f>H36-SUM($I$5:I36)</f>
        <v>903611.75040000072</v>
      </c>
    </row>
    <row r="37" spans="1:14" ht="15" customHeight="1" x14ac:dyDescent="0.3">
      <c r="A37" s="25">
        <v>33</v>
      </c>
      <c r="B37" s="25" t="s">
        <v>279</v>
      </c>
      <c r="C37" s="110">
        <v>39164.239800000003</v>
      </c>
      <c r="D37" s="110">
        <f>SUM($C$5:C37)</f>
        <v>1226346.9102</v>
      </c>
      <c r="E37" s="111">
        <v>8958.9150000000009</v>
      </c>
      <c r="F37" s="111">
        <f>SUM($E$5:E37)</f>
        <v>280529.8349999999</v>
      </c>
      <c r="G37" s="111">
        <f t="shared" si="0"/>
        <v>30205.324800000002</v>
      </c>
      <c r="H37" s="111">
        <f>SUM($G$5:G37)</f>
        <v>945817.07520000078</v>
      </c>
      <c r="I37" s="110">
        <v>0</v>
      </c>
      <c r="J37" s="112">
        <f>H37-SUM($I$5:I37)</f>
        <v>933817.07520000078</v>
      </c>
    </row>
    <row r="38" spans="1:14" ht="15" customHeight="1" x14ac:dyDescent="0.3">
      <c r="A38" s="28">
        <v>34</v>
      </c>
      <c r="B38" s="28" t="s">
        <v>280</v>
      </c>
      <c r="C38" s="113">
        <v>39164.239800000003</v>
      </c>
      <c r="D38" s="113">
        <f>SUM($C$5:C38)</f>
        <v>1265511.1500000001</v>
      </c>
      <c r="E38" s="114">
        <v>8958.9150000000009</v>
      </c>
      <c r="F38" s="114">
        <f>SUM($E$5:E38)</f>
        <v>289488.74999999988</v>
      </c>
      <c r="G38" s="114">
        <f t="shared" si="0"/>
        <v>30205.324800000002</v>
      </c>
      <c r="H38" s="114">
        <f>SUM($G$5:G38)</f>
        <v>976022.40000000084</v>
      </c>
      <c r="I38" s="113">
        <v>0</v>
      </c>
      <c r="J38" s="115">
        <f>H38-SUM($I$5:I38)</f>
        <v>964022.40000000084</v>
      </c>
    </row>
    <row r="39" spans="1:14" ht="15" customHeight="1" x14ac:dyDescent="0.3">
      <c r="A39" s="25">
        <v>35</v>
      </c>
      <c r="B39" s="25" t="s">
        <v>281</v>
      </c>
      <c r="C39" s="110">
        <v>39164.239800000003</v>
      </c>
      <c r="D39" s="110">
        <f>SUM($C$5:C39)</f>
        <v>1304675.3898000002</v>
      </c>
      <c r="E39" s="111">
        <v>8958.9150000000009</v>
      </c>
      <c r="F39" s="111">
        <f>SUM($E$5:E39)</f>
        <v>298447.66499999986</v>
      </c>
      <c r="G39" s="111">
        <f t="shared" si="0"/>
        <v>30205.324800000002</v>
      </c>
      <c r="H39" s="111">
        <f>SUM($G$5:G39)</f>
        <v>1006227.7248000009</v>
      </c>
      <c r="I39" s="110">
        <v>0</v>
      </c>
      <c r="J39" s="112">
        <f>H39-SUM($I$5:I39)</f>
        <v>994227.7248000009</v>
      </c>
    </row>
    <row r="40" spans="1:14" ht="15" customHeight="1" x14ac:dyDescent="0.3">
      <c r="A40" s="116">
        <v>36</v>
      </c>
      <c r="B40" s="116" t="s">
        <v>282</v>
      </c>
      <c r="C40" s="117">
        <v>39164.239800000003</v>
      </c>
      <c r="D40" s="117">
        <f>SUM($C$5:C40)</f>
        <v>1343839.6296000003</v>
      </c>
      <c r="E40" s="118">
        <v>8958.9150000000009</v>
      </c>
      <c r="F40" s="118">
        <f>SUM($E$5:E40)</f>
        <v>307406.57999999984</v>
      </c>
      <c r="G40" s="118">
        <f t="shared" si="0"/>
        <v>30205.324800000002</v>
      </c>
      <c r="H40" s="118">
        <f>SUM($G$5:G40)</f>
        <v>1036433.049600001</v>
      </c>
      <c r="I40" s="117">
        <v>0</v>
      </c>
      <c r="J40" s="119">
        <f>H40-SUM($I$5:I40)</f>
        <v>1024433.049600001</v>
      </c>
    </row>
    <row r="42" spans="1:14" ht="15" customHeight="1" x14ac:dyDescent="0.3">
      <c r="A42" s="125" t="s">
        <v>90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</row>
    <row r="43" spans="1:14" ht="23.25" customHeight="1" x14ac:dyDescent="0.3">
      <c r="A43" s="22" t="s">
        <v>283</v>
      </c>
      <c r="B43" s="22" t="s">
        <v>284</v>
      </c>
      <c r="C43" s="22" t="s">
        <v>285</v>
      </c>
      <c r="D43" s="22" t="s">
        <v>286</v>
      </c>
      <c r="E43" s="22" t="s">
        <v>287</v>
      </c>
      <c r="F43" s="22" t="s">
        <v>288</v>
      </c>
      <c r="G43" s="22" t="s">
        <v>289</v>
      </c>
      <c r="H43" s="22"/>
      <c r="I43" s="22"/>
      <c r="J43" s="22"/>
      <c r="K43" s="22"/>
      <c r="L43" s="22"/>
      <c r="M43" s="22"/>
      <c r="N43" s="22"/>
    </row>
    <row r="44" spans="1:14" ht="15" customHeight="1" x14ac:dyDescent="0.3">
      <c r="A44" s="120" t="s">
        <v>290</v>
      </c>
      <c r="B44" s="121">
        <f>SUM(C5:C16)</f>
        <v>426277.44</v>
      </c>
      <c r="C44" s="121">
        <f>SUM(E5:E16)</f>
        <v>97512</v>
      </c>
      <c r="D44" s="121">
        <f>B44-C44</f>
        <v>328765.44</v>
      </c>
      <c r="E44" s="121">
        <f>SUM(I5:I16)</f>
        <v>12000</v>
      </c>
      <c r="F44" s="121">
        <f>D44-E44</f>
        <v>316765.44</v>
      </c>
      <c r="G44" s="122">
        <f>F44/E47</f>
        <v>26.397120000000001</v>
      </c>
    </row>
    <row r="45" spans="1:14" ht="15" customHeight="1" x14ac:dyDescent="0.3">
      <c r="A45" s="120" t="s">
        <v>291</v>
      </c>
      <c r="B45" s="121">
        <f>SUM(C17:C28)</f>
        <v>447591.31200000009</v>
      </c>
      <c r="C45" s="121">
        <f>SUM(E17:E28)</f>
        <v>102387.60000000002</v>
      </c>
      <c r="D45" s="121">
        <f>B45-C45</f>
        <v>345203.71200000006</v>
      </c>
      <c r="E45" s="121" t="s">
        <v>292</v>
      </c>
      <c r="F45" s="121">
        <f>D45-E45</f>
        <v>345203.71200000006</v>
      </c>
    </row>
    <row r="46" spans="1:14" ht="15" customHeight="1" x14ac:dyDescent="0.3">
      <c r="A46" s="120" t="s">
        <v>293</v>
      </c>
      <c r="B46" s="121">
        <f>SUM(C29:C40)</f>
        <v>469970.87759999995</v>
      </c>
      <c r="C46" s="121">
        <f>SUM(E29:E40)</f>
        <v>107506.98000000004</v>
      </c>
      <c r="D46" s="121">
        <f>B46-C46</f>
        <v>362463.89759999991</v>
      </c>
      <c r="E46" s="121" t="s">
        <v>292</v>
      </c>
      <c r="F46" s="121">
        <f>D46-E46</f>
        <v>362463.89759999991</v>
      </c>
    </row>
    <row r="47" spans="1:14" ht="26.25" customHeight="1" x14ac:dyDescent="0.3">
      <c r="A47" s="123" t="s">
        <v>294</v>
      </c>
      <c r="B47" s="124">
        <f>SUM(B44:B46)</f>
        <v>1343839.6296000001</v>
      </c>
      <c r="C47" s="124">
        <f>SUM(C44:C46)</f>
        <v>307406.58000000007</v>
      </c>
      <c r="D47" s="124">
        <f>SUM(D44:D46)</f>
        <v>1036433.0495999999</v>
      </c>
      <c r="E47" s="124">
        <f>SUM(E44:E46)</f>
        <v>12000</v>
      </c>
      <c r="F47" s="124">
        <f>SUM(F44:F46)</f>
        <v>1024433.0495999999</v>
      </c>
    </row>
  </sheetData>
  <mergeCells count="3">
    <mergeCell ref="A1:N1"/>
    <mergeCell ref="A2:N2"/>
    <mergeCell ref="A42:N4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Cost Comparison</vt:lpstr>
      <vt:lpstr>Migration Plan &amp; Costs</vt:lpstr>
      <vt:lpstr>Architecture &amp; Connectivity</vt:lpstr>
      <vt:lpstr>3-Year Financial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2026-03-24T17:35:24Z</dcterms:created>
  <dcterms:modified xsi:type="dcterms:W3CDTF">2026-03-25T11:54:47Z</dcterms:modified>
  <dc:language>en-US</dc:language>
</cp:coreProperties>
</file>