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Cost Comparison" sheetId="2" state="visible" r:id="rId4"/>
    <sheet name="Migration Plan &amp; Costs" sheetId="3" state="visible" r:id="rId5"/>
    <sheet name="Architecture &amp; Connectivity" sheetId="4" state="visible" r:id="rId6"/>
    <sheet name="3-Year Financial Model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<sst xmlns="http://schemas.openxmlformats.org/spreadsheetml/2006/main" count="315" uniqueCount="281">
  <si>
    <t xml:space="preserve">HUBSTOR → AWS S3 MIGRATION  |  BUSINESS CASE &amp; COST ANALYSIS</t>
  </si>
  <si>
    <t xml:space="preserve">Prepared for Internal Review  |  Based on HubStor Master Report v5  |  March 2026</t>
  </si>
  <si>
    <t xml:space="preserve">CURRENT STATE</t>
  </si>
  <si>
    <t xml:space="preserve">PROJECTED AWS COST</t>
  </si>
  <si>
    <t xml:space="preserve">ANNUAL SAVINGS</t>
  </si>
  <si>
    <t xml:space="preserve">MIGRATION PAYBACK</t>
  </si>
  <si>
    <t xml:space="preserve">$35,523 /mo</t>
  </si>
  <si>
    <t xml:space="preserve">~$8,200 /mo</t>
  </si>
  <si>
    <t xml:space="preserve">~$329K /yr</t>
  </si>
  <si>
    <t xml:space="preserve">&lt; 4 months</t>
  </si>
  <si>
    <t xml:space="preserve">426K/yr  |  1,042 TiB total  |  5 regions</t>
  </si>
  <si>
    <t xml:space="preserve">~98K/yr  |  Same tier mapping  |  No HubStor fee</t>
  </si>
  <si>
    <t xml:space="preserve">77% cost reduction  |  Exceeds $100K target</t>
  </si>
  <si>
    <t xml:space="preserve">One-time migration cost ~$12K</t>
  </si>
  <si>
    <t xml:space="preserve">CURRENT HUBSTOR COSTS BY REGION (Azure)</t>
  </si>
  <si>
    <t xml:space="preserve">Azure Region</t>
  </si>
  <si>
    <t xml:space="preserve">Location</t>
  </si>
  <si>
    <t xml:space="preserve">Total Usage (GiB)</t>
  </si>
  <si>
    <t xml:space="preserve">Storage Cost/mo</t>
  </si>
  <si>
    <t xml:space="preserve">Non-Storage Cost/mo</t>
  </si>
  <si>
    <t xml:space="preserve">Total Cost/mo</t>
  </si>
  <si>
    <t xml:space="preserve">EastUS2</t>
  </si>
  <si>
    <t xml:space="preserve">Virginia, USA</t>
  </si>
  <si>
    <t xml:space="preserve">GermanyWestCentral</t>
  </si>
  <si>
    <t xml:space="preserve">Frankfurt, Germany</t>
  </si>
  <si>
    <t xml:space="preserve">UKSouth</t>
  </si>
  <si>
    <t xml:space="preserve">London, UK</t>
  </si>
  <si>
    <t xml:space="preserve">WestEurope</t>
  </si>
  <si>
    <t xml:space="preserve">Amsterdam, Netherlands</t>
  </si>
  <si>
    <t xml:space="preserve">WestUS2</t>
  </si>
  <si>
    <t xml:space="preserve">Washington, USA</t>
  </si>
  <si>
    <t xml:space="preserve">GRAND TOTAL</t>
  </si>
  <si>
    <t xml:space="preserve">All 5 Azure Regions</t>
  </si>
  <si>
    <t xml:space="preserve">CURRENT STORAGE BY AZURE TIER</t>
  </si>
  <si>
    <t xml:space="preserve">Azure Tier</t>
  </si>
  <si>
    <t xml:space="preserve">Equiv. AWS Class</t>
  </si>
  <si>
    <t xml:space="preserve">Usage (GiB)</t>
  </si>
  <si>
    <t xml:space="preserve">Usage (TiB)</t>
  </si>
  <si>
    <t xml:space="preserve">% of Total</t>
  </si>
  <si>
    <t xml:space="preserve">Azure $/GB/mo</t>
  </si>
  <si>
    <t xml:space="preserve">Standard</t>
  </si>
  <si>
    <t xml:space="preserve">S3 Standard</t>
  </si>
  <si>
    <t xml:space="preserve">$0.020</t>
  </si>
  <si>
    <t xml:space="preserve">Hot</t>
  </si>
  <si>
    <t xml:space="preserve">Cool</t>
  </si>
  <si>
    <t xml:space="preserve">S3 Standard-IA</t>
  </si>
  <si>
    <t xml:space="preserve">$0.015</t>
  </si>
  <si>
    <t xml:space="preserve">Cold</t>
  </si>
  <si>
    <t xml:space="preserve">S3 Glacier Instant Retrieval</t>
  </si>
  <si>
    <t xml:space="preserve">$0.010</t>
  </si>
  <si>
    <t xml:space="preserve">Archive</t>
  </si>
  <si>
    <t xml:space="preserve">S3 Glacier Deep Archive</t>
  </si>
  <si>
    <t xml:space="preserve">$0.002</t>
  </si>
  <si>
    <t xml:space="preserve">TOTAL</t>
  </si>
  <si>
    <t xml:space="preserve">AZURE HUBSTOR vs AWS S3 — DETAILED COST COMPARISON MODEL</t>
  </si>
  <si>
    <t xml:space="preserve">Azure pricing based on HubStor Master Report v5 actuals  |  AWS pricing based on US-East-1 / EU-West-1 list rates (2026)  |  Blue cells = inputs</t>
  </si>
  <si>
    <t xml:space="preserve">KEY PRICING ASSUMPTIONS</t>
  </si>
  <si>
    <t xml:space="preserve">Storage Class</t>
  </si>
  <si>
    <t xml:space="preserve">AWS Class</t>
  </si>
  <si>
    <t xml:space="preserve">AWS $/GB/mo (US)</t>
  </si>
  <si>
    <t xml:space="preserve">AWS $/GB/mo (EU)</t>
  </si>
  <si>
    <t xml:space="preserve">Retrieval $/GB</t>
  </si>
  <si>
    <t xml:space="preserve">Min Duration</t>
  </si>
  <si>
    <t xml:space="preserve">HubStor Mgmt Fee %</t>
  </si>
  <si>
    <t xml:space="preserve">HubStor Fee on Storage</t>
  </si>
  <si>
    <t xml:space="preserve">AWS Equiv Fee</t>
  </si>
  <si>
    <t xml:space="preserve">Notes</t>
  </si>
  <si>
    <t xml:space="preserve">Standard/Hot Active</t>
  </si>
  <si>
    <t xml:space="preserve">Standard / Hot</t>
  </si>
  <si>
    <t xml:space="preserve">None</t>
  </si>
  <si>
    <t xml:space="preserve">HubStor charges ~18% mgmt on storage</t>
  </si>
  <si>
    <t xml:space="preserve">Cool / Infrequent</t>
  </si>
  <si>
    <t xml:space="preserve">30d</t>
  </si>
  <si>
    <t xml:space="preserve">IA has retrieval fees; add for heavy use</t>
  </si>
  <si>
    <t xml:space="preserve">Cold / Glacier IR</t>
  </si>
  <si>
    <t xml:space="preserve">90d</t>
  </si>
  <si>
    <t xml:space="preserve">2.5x cheaper; millisecond retrieval</t>
  </si>
  <si>
    <t xml:space="preserve">180d</t>
  </si>
  <si>
    <t xml:space="preserve">Dominant tier—biggest saving 83%</t>
  </si>
  <si>
    <t xml:space="preserve">MONTHLY COST COMPARISON — BY STORAGE TIER</t>
  </si>
  <si>
    <t xml:space="preserve">Tier</t>
  </si>
  <si>
    <t xml:space="preserve">Azure Storage $/mo</t>
  </si>
  <si>
    <t xml:space="preserve">HubStor Mgmt $/mo</t>
  </si>
  <si>
    <t xml:space="preserve">Azure Total $/mo</t>
  </si>
  <si>
    <t xml:space="preserve">AWS Storage $/mo</t>
  </si>
  <si>
    <t xml:space="preserve">AWS Non-Storage $/mo</t>
  </si>
  <si>
    <t xml:space="preserve">AWS Total $/mo</t>
  </si>
  <si>
    <t xml:space="preserve">Monthly Saving $</t>
  </si>
  <si>
    <t xml:space="preserve">Annual Saving $</t>
  </si>
  <si>
    <t xml:space="preserve">% Reduction</t>
  </si>
  <si>
    <t xml:space="preserve">ANNUAL SUMMARY</t>
  </si>
  <si>
    <t xml:space="preserve">Current Annual Cost (HubStor)</t>
  </si>
  <si>
    <t xml:space="preserve">Projected Annual Cost (AWS S3)</t>
  </si>
  <si>
    <t xml:space="preserve">Annual Savings</t>
  </si>
  <si>
    <t xml:space="preserve">% Cost Reduction</t>
  </si>
  <si>
    <t xml:space="preserve">MIGRATION PLAN — ONE-TIME COSTS, TIMELINE &amp; CONNECTIVITY STRATEGY</t>
  </si>
  <si>
    <t xml:space="preserve">ONE-TIME MIGRATION COST BREAKDOWN</t>
  </si>
  <si>
    <t xml:space="preserve">Cost Item</t>
  </si>
  <si>
    <t xml:space="preserve">Category</t>
  </si>
  <si>
    <t xml:space="preserve">Unit</t>
  </si>
  <si>
    <t xml:space="preserve">Qty</t>
  </si>
  <si>
    <t xml:space="preserve">Unit Cost ($)</t>
  </si>
  <si>
    <t xml:space="preserve">Total Cost ($)</t>
  </si>
  <si>
    <t xml:space="preserve">AWS DataSync (Azure→S3 egress free inbound)</t>
  </si>
  <si>
    <t xml:space="preserve">Data Transfer</t>
  </si>
  <si>
    <t xml:space="preserve">TB transferred</t>
  </si>
  <si>
    <t xml:space="preserve">AWS ingress is FREE — zero cost to receive data into S3</t>
  </si>
  <si>
    <t xml:space="preserve">Azure Blob egress to internet (one-time)</t>
  </si>
  <si>
    <t xml:space="preserve">TB</t>
  </si>
  <si>
    <t xml:space="preserve">~$8.7/TB Azure egress fee blended (EU/US); major one-time cost</t>
  </si>
  <si>
    <t xml:space="preserve">AWS DataSync service fee</t>
  </si>
  <si>
    <t xml:space="preserve">Migration Tool</t>
  </si>
  <si>
    <t xml:space="preserve">GB processed</t>
  </si>
  <si>
    <t xml:space="preserve">$0.0125 per GB scanned via DataSync</t>
  </si>
  <si>
    <t xml:space="preserve">S3 Storage Gateway (File GW — VM)</t>
  </si>
  <si>
    <t xml:space="preserve">Connectivity</t>
  </si>
  <si>
    <t xml:space="preserve">Per VM/site</t>
  </si>
  <si>
    <t xml:space="preserve">S3 File Gateway runs on on-prem VM — no gateway license fee</t>
  </si>
  <si>
    <t xml:space="preserve">EC2 for Gateway (m5.xlarge x5 sites, 1 yr)</t>
  </si>
  <si>
    <t xml:space="preserve">Instances/yr</t>
  </si>
  <si>
    <t xml:space="preserve">~$100/mo per instance at on-demand; use Reserved for 40% saving</t>
  </si>
  <si>
    <t xml:space="preserve">AWS Professional Services / Migration Support</t>
  </si>
  <si>
    <t xml:space="preserve">Labor</t>
  </si>
  <si>
    <t xml:space="preserve">Days</t>
  </si>
  <si>
    <t xml:space="preserve">Optional — internal team can execute with AWS docs</t>
  </si>
  <si>
    <t xml:space="preserve">Testing, Validation &amp; UAT</t>
  </si>
  <si>
    <t xml:space="preserve">Internal IT resource time estimate</t>
  </si>
  <si>
    <t xml:space="preserve">HubStor decommission coordination</t>
  </si>
  <si>
    <t xml:space="preserve">Contract termination notice + data verification</t>
  </si>
  <si>
    <t xml:space="preserve">AWS IAM, Bucket Policy setup</t>
  </si>
  <si>
    <t xml:space="preserve">Setup</t>
  </si>
  <si>
    <t xml:space="preserve">Flat</t>
  </si>
  <si>
    <t xml:space="preserve">One-time config cost</t>
  </si>
  <si>
    <t xml:space="preserve">Monitoring setup (CloudWatch + alerts)</t>
  </si>
  <si>
    <t xml:space="preserve">CloudWatch dashboards, cost alerts, lifecycle rules</t>
  </si>
  <si>
    <t xml:space="preserve">Buffer / contingency (10%)</t>
  </si>
  <si>
    <t xml:space="preserve">Contingency</t>
  </si>
  <si>
    <t xml:space="preserve">TOTAL ONE-TIME MIGRATION COST</t>
  </si>
  <si>
    <t xml:space="preserve">PAYBACK ANALYSIS</t>
  </si>
  <si>
    <t xml:space="preserve">Total One-Time Migration Cost</t>
  </si>
  <si>
    <t xml:space="preserve">Monthly Cost Saving (Azure - AWS)</t>
  </si>
  <si>
    <t xml:space="preserve">Payback Period (months)</t>
  </si>
  <si>
    <t xml:space="preserve">Year 1 Net Saving (after migration cost)</t>
  </si>
  <si>
    <t xml:space="preserve">3-Year Total Net Saving</t>
  </si>
  <si>
    <t xml:space="preserve">MIGRATION TIMELINE (6-MONTH PHASED APPROACH)</t>
  </si>
  <si>
    <t xml:space="preserve">Phase</t>
  </si>
  <si>
    <t xml:space="preserve">Month</t>
  </si>
  <si>
    <t xml:space="preserve">Key Activities</t>
  </si>
  <si>
    <t xml:space="preserve">Owner</t>
  </si>
  <si>
    <t xml:space="preserve">Success Criteria</t>
  </si>
  <si>
    <t xml:space="preserve">Phase 1 — Planning &amp; Setup</t>
  </si>
  <si>
    <t xml:space="preserve">Month 1</t>
  </si>
  <si>
    <t xml:space="preserve">AWS account setup, IAM policies, S3 bucket creation per region (US-East, EU-West, EU-Central). Storage Gateway VM deployment at 5 sites. VPN/Direct Connect planning.</t>
  </si>
  <si>
    <t xml:space="preserve">Cloud Team</t>
  </si>
  <si>
    <t xml:space="preserve">Buckets created, Gateway VMs online, connectivity tested</t>
  </si>
  <si>
    <t xml:space="preserve">Phase 2 — Pilot Migration</t>
  </si>
  <si>
    <t xml:space="preserve">Month 2</t>
  </si>
  <si>
    <t xml:space="preserve">Migrate 1 small stor (RMS East US Files, ~914 GiB). Validate data integrity. Test retrieval from S3 File Gateway. Benchmark transfer speed. Confirm access controls.</t>
  </si>
  <si>
    <t xml:space="preserve">Cloud + App</t>
  </si>
  <si>
    <t xml:space="preserve">100% data verified, retrieval functional, &lt;1% error rate</t>
  </si>
  <si>
    <t xml:space="preserve">Phase 3 — US Region Migration</t>
  </si>
  <si>
    <t xml:space="preserve">Month 3</t>
  </si>
  <si>
    <t xml:space="preserve">Migrate EastUS2 (221 TiB) and WestUS2 (72 TiB) using AWS DataSync. Schedule overnight transfers to minimize bandwidth contention.</t>
  </si>
  <si>
    <t xml:space="preserve">EastUS2 + WestUS2 fully migrated, HubStor connectors rerouted</t>
  </si>
  <si>
    <t xml:space="preserve">Phase 4 — EU Region Migration</t>
  </si>
  <si>
    <t xml:space="preserve">Months 4-5</t>
  </si>
  <si>
    <t xml:space="preserve">Migrate UKSouth (374 TiB), WestEurope (349 TiB), GermanyWestCentral (48 TiB). Largest phase. Run parallel: existing HubStor connectors active until verified.</t>
  </si>
  <si>
    <t xml:space="preserve">All EU data migrated, parallel access validated, no data loss</t>
  </si>
  <si>
    <t xml:space="preserve">Phase 5 — Cutover &amp; Decom</t>
  </si>
  <si>
    <t xml:space="preserve">Month 6</t>
  </si>
  <si>
    <t xml:space="preserve">Update all site connectors to point to S3 File Gateway. Verify all archiving pipelines. Cancel HubStor subscription. Set lifecycle policies on all S3 buckets.</t>
  </si>
  <si>
    <t xml:space="preserve">IT + Finance</t>
  </si>
  <si>
    <t xml:space="preserve">Zero HubStor invoices. All connectors routing to S3.</t>
  </si>
  <si>
    <t xml:space="preserve">AWS S3 TARGET ARCHITECTURE — CONNECTIVITY &amp; ACCESS DESIGN</t>
  </si>
  <si>
    <t xml:space="preserve">STORAGE GATEWAY: HOW SITES CONNECT TO S3</t>
  </si>
  <si>
    <t xml:space="preserve">Pattern</t>
  </si>
  <si>
    <t xml:space="preserve">AWS S3 File Gateway (NFS/SMB)  →  replaces HubStor connector agent at each site</t>
  </si>
  <si>
    <t xml:space="preserve">What it is</t>
  </si>
  <si>
    <t xml:space="preserve">A VM (VMware / Hyper-V / KVM) deployed on-prem at each site that presents NFS/SMB shares. Data written to those shares is automatically uploaded to S3 as objects.</t>
  </si>
  <si>
    <t xml:space="preserve">Archiving flow</t>
  </si>
  <si>
    <t xml:space="preserve">Application or user saves file to Gateway share  →  Gateway caches locally  →  Compresses &amp; uploads to S3 bucket  →  File is accessible via same share (cached)</t>
  </si>
  <si>
    <t xml:space="preserve">Retrieval flow</t>
  </si>
  <si>
    <t xml:space="preserve">User requests file from Gateway share  →  Gateway checks local cache  →  If not cached, fetches from S3  →  Returns file to user</t>
  </si>
  <si>
    <t xml:space="preserve">Per-site VMs</t>
  </si>
  <si>
    <t xml:space="preserve">5 sites need a Gateway VM: WLM (WestUS2), RNO (WestUS2), MWN/Williamsport (EastUS2), UK sites, EU sites. 1 Gateway can serve multiple connectors per site.</t>
  </si>
  <si>
    <t xml:space="preserve">Bandwidth</t>
  </si>
  <si>
    <t xml:space="preserve">Use AWS DataSync for initial bulk migration (dedicated transfer). Post-migration, Gateway handles incremental archive writes only.</t>
  </si>
  <si>
    <t xml:space="preserve">S3 BUCKET STRATEGY</t>
  </si>
  <si>
    <t xml:space="preserve">Bucket per region</t>
  </si>
  <si>
    <t xml:space="preserve">Create 1 bucket per AWS region matching existing Azure region (us-east-1, us-west-2, eu-west-2 UK, eu-west-1 NL, eu-central-1 DE)</t>
  </si>
  <si>
    <t xml:space="preserve">Prefix structure</t>
  </si>
  <si>
    <t xml:space="preserve">s3://company-archive-{region}/{site}-{storname}/{year}/{month}/</t>
  </si>
  <si>
    <t xml:space="preserve">Lifecycle rules</t>
  </si>
  <si>
    <t xml:space="preserve">All objects: Day 0 → S3 Standard-IA (cool data stays here) | Archive tier → S3 Glacier Deep Archive immediately on upload</t>
  </si>
  <si>
    <t xml:space="preserve">Object Lock</t>
  </si>
  <si>
    <t xml:space="preserve">Enable S3 Object Lock (Compliance mode) for GxP/regulatory data — immutable for defined retention period</t>
  </si>
  <si>
    <t xml:space="preserve">Versioning</t>
  </si>
  <si>
    <t xml:space="preserve">Enable versioning on compliance buckets only; disable for pure archive to avoid cost accumulation</t>
  </si>
  <si>
    <t xml:space="preserve">Encryption</t>
  </si>
  <si>
    <t xml:space="preserve">SSE-S3 (AES-256) at no extra cost; upgrade to SSE-KMS if key management needed</t>
  </si>
  <si>
    <t xml:space="preserve">CONNECTIVITY OPTIONS BY SCENARIO</t>
  </si>
  <si>
    <t xml:space="preserve">Option A — Internet + TLS (Recommended for most sites)</t>
  </si>
  <si>
    <t xml:space="preserve">File Gateway VM uploads to S3 over HTTPS/TLS. Data encrypted in transit. No additional networking cost. Suitable for sites with reliable internet (all current sites).</t>
  </si>
  <si>
    <t xml:space="preserve">Option B — AWS Direct Connect (Optional premium)</t>
  </si>
  <si>
    <t xml:space="preserve">If sites already have Direct Connect, use it for guaranteed bandwidth. Adds ~$0.02/GB data transfer cost but eliminates public internet dependency. Not required.</t>
  </si>
  <si>
    <t xml:space="preserve">Option C — Site-to-Site VPN to AWS</t>
  </si>
  <si>
    <t xml:space="preserve">Lower cost than Direct Connect (~$0.05/hr VPN + data). Good for highest-security requirements. Can be added later.</t>
  </si>
  <si>
    <t xml:space="preserve">Recommendation</t>
  </si>
  <si>
    <t xml:space="preserve">Start with Option A (HTTPS/TLS via Gateway). All data is encrypted. Monitor transfer speeds. Add Direct Connect only if bandwidth becomes a constraint.</t>
  </si>
  <si>
    <t xml:space="preserve">REGION MAPPING: AZURE → AWS</t>
  </si>
  <si>
    <t xml:space="preserve">Azure EastUS2 (Virginia)</t>
  </si>
  <si>
    <t xml:space="preserve">→  AWS us-east-1 (N. Virginia)  |  Sites: MWN, WLM, Safety Assessment East</t>
  </si>
  <si>
    <t xml:space="preserve">Azure WestUS2 (Washington)</t>
  </si>
  <si>
    <t xml:space="preserve">→  AWS us-west-2 (Oregon)  |  Sites: RNO, Safety Assessment West</t>
  </si>
  <si>
    <t xml:space="preserve">Azure UKSouth (London)</t>
  </si>
  <si>
    <t xml:space="preserve">→  AWS eu-west-2 (London)  |  Sites: CRP, HAR, PTH, EDI — data stays in UK</t>
  </si>
  <si>
    <t xml:space="preserve">Azure WestEurope (Amsterdam)</t>
  </si>
  <si>
    <t xml:space="preserve">→  AWS eu-west-1 (Ireland)  |  Sites: LEI, HER, GRO, KUO, SZG, FRE</t>
  </si>
  <si>
    <t xml:space="preserve">Azure GermanyWestCentral</t>
  </si>
  <si>
    <t xml:space="preserve">→  AWS eu-central-1 (Frankfurt)  |  Sites: FRI — data stays in Germany for GDPR</t>
  </si>
  <si>
    <t xml:space="preserve">Data Residency Note</t>
  </si>
  <si>
    <t xml:space="preserve">All EU data remains in EU. German data remains in Germany. UK data remains in UK. No cross-border data flows introduced.</t>
  </si>
  <si>
    <t xml:space="preserve">3-YEAR FINANCIAL MODEL — HUBSTOR vs AWS S3 TCO COMPARISON</t>
  </si>
  <si>
    <t xml:space="preserve">Assumption: 5% annual data growth | AWS pricing held flat (conservative) | HubStor cost held flat</t>
  </si>
  <si>
    <t xml:space="preserve">Period</t>
  </si>
  <si>
    <t xml:space="preserve">HubStor Cost ($)</t>
  </si>
  <si>
    <t xml:space="preserve">Cumulative HubStor ($)</t>
  </si>
  <si>
    <t xml:space="preserve">AWS S3 Cost ($)</t>
  </si>
  <si>
    <t xml:space="preserve">Cumulative AWS ($)</t>
  </si>
  <si>
    <t xml:space="preserve">Monthly Saving ($)</t>
  </si>
  <si>
    <t xml:space="preserve">Cumulative Saving ($)</t>
  </si>
  <si>
    <t xml:space="preserve">Migration Cost ($)</t>
  </si>
  <si>
    <t xml:space="preserve">Net Cumulative Saving ($)</t>
  </si>
  <si>
    <t xml:space="preserve">Y1M1</t>
  </si>
  <si>
    <t xml:space="preserve">Y1M2</t>
  </si>
  <si>
    <t xml:space="preserve">Y1M3</t>
  </si>
  <si>
    <t xml:space="preserve">Y1M4</t>
  </si>
  <si>
    <t xml:space="preserve">Y1M5</t>
  </si>
  <si>
    <t xml:space="preserve">Y1M6</t>
  </si>
  <si>
    <t xml:space="preserve">Y1M7</t>
  </si>
  <si>
    <t xml:space="preserve">Y1M8</t>
  </si>
  <si>
    <t xml:space="preserve">Y1M9</t>
  </si>
  <si>
    <t xml:space="preserve">Y1M10</t>
  </si>
  <si>
    <t xml:space="preserve">Y1M11</t>
  </si>
  <si>
    <t xml:space="preserve">Y1M12</t>
  </si>
  <si>
    <t xml:space="preserve">Y2M1</t>
  </si>
  <si>
    <t xml:space="preserve">Y2M2</t>
  </si>
  <si>
    <t xml:space="preserve">Y2M3</t>
  </si>
  <si>
    <t xml:space="preserve">Y2M4</t>
  </si>
  <si>
    <t xml:space="preserve">Y2M5</t>
  </si>
  <si>
    <t xml:space="preserve">Y2M6</t>
  </si>
  <si>
    <t xml:space="preserve">Y2M7</t>
  </si>
  <si>
    <t xml:space="preserve">Y2M8</t>
  </si>
  <si>
    <t xml:space="preserve">Y2M9</t>
  </si>
  <si>
    <t xml:space="preserve">Y2M10</t>
  </si>
  <si>
    <t xml:space="preserve">Y2M11</t>
  </si>
  <si>
    <t xml:space="preserve">Y2M12</t>
  </si>
  <si>
    <t xml:space="preserve">Y3M1</t>
  </si>
  <si>
    <t xml:space="preserve">Y3M2</t>
  </si>
  <si>
    <t xml:space="preserve">Y3M3</t>
  </si>
  <si>
    <t xml:space="preserve">Y3M4</t>
  </si>
  <si>
    <t xml:space="preserve">Y3M5</t>
  </si>
  <si>
    <t xml:space="preserve">Y3M6</t>
  </si>
  <si>
    <t xml:space="preserve">Y3M7</t>
  </si>
  <si>
    <t xml:space="preserve">Y3M8</t>
  </si>
  <si>
    <t xml:space="preserve">Y3M9</t>
  </si>
  <si>
    <t xml:space="preserve">Y3M10</t>
  </si>
  <si>
    <t xml:space="preserve">Y3M11</t>
  </si>
  <si>
    <t xml:space="preserve">Y3M12</t>
  </si>
  <si>
    <t xml:space="preserve">Year</t>
  </si>
  <si>
    <t xml:space="preserve">HubStor Annual</t>
  </si>
  <si>
    <t xml:space="preserve">AWS S3 Annual</t>
  </si>
  <si>
    <t xml:space="preserve">Gross Saving</t>
  </si>
  <si>
    <t xml:space="preserve">Migration Cost</t>
  </si>
  <si>
    <t xml:space="preserve">Net Saving</t>
  </si>
  <si>
    <t xml:space="preserve">ROI %</t>
  </si>
  <si>
    <t xml:space="preserve">Year 1</t>
  </si>
  <si>
    <t xml:space="preserve">Year 2</t>
  </si>
  <si>
    <t xml:space="preserve">0</t>
  </si>
  <si>
    <t xml:space="preserve">Year 3</t>
  </si>
  <si>
    <t xml:space="preserve">3-Year Total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</si>
</sst>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"/>
    <numFmt numFmtId="166" formatCode="\$#,##0.00"/>
    <numFmt numFmtId="167" formatCode="#,##0.00"/>
    <numFmt numFmtId="168" formatCode="0.0%"/>
    <numFmt numFmtId="169" formatCode="\$0.0000"/>
    <numFmt numFmtId="170" formatCode="\$0.00000"/>
    <numFmt numFmtId="171" formatCode="\$0.000"/>
    <numFmt numFmtId="172" formatCode="0%"/>
    <numFmt numFmtId="173" formatCode="\$0.00"/>
    <numFmt numFmtId="174" formatCode="\$#,##0"/>
    <numFmt numFmtId="175" formatCode="0.0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6"/>
      <color rgb="FF2E75B6"/>
      <name val="Arial"/>
      <family val="0"/>
      <charset val="1"/>
    </font>
    <font>
      <b val="true"/>
      <sz val="16"/>
      <color rgb="FF375623"/>
      <name val="Arial"/>
      <family val="0"/>
      <charset val="1"/>
    </font>
    <font>
      <b val="true"/>
      <sz val="16"/>
      <color rgb="FF843C0C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sz val="8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8"/>
      <color rgb="FF66666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2"/>
      <color rgb="FFFFFF00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C00000"/>
      <name val="Arial"/>
      <family val="0"/>
      <charset val="1"/>
    </font>
    <font>
      <sz val="9"/>
      <color rgb="FF375623"/>
      <name val="Arial"/>
      <family val="0"/>
      <charset val="1"/>
    </font>
    <font>
      <b val="true"/>
      <sz val="9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375623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75623"/>
      </patternFill>
    </fill>
    <fill>
      <patternFill patternType="solid">
        <fgColor rgb="FF2E75B6"/>
        <bgColor rgb="FF4472C4"/>
      </patternFill>
    </fill>
    <fill>
      <patternFill patternType="solid">
        <fgColor rgb="FF375623"/>
        <bgColor rgb="FF555555"/>
      </patternFill>
    </fill>
    <fill>
      <patternFill patternType="solid">
        <fgColor rgb="FF843C0C"/>
        <bgColor rgb="FF993366"/>
      </patternFill>
    </fill>
    <fill>
      <patternFill patternType="solid">
        <fgColor rgb="FFD6E4F7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E0E0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FE0E0"/>
        <bgColor rgb="FFFCE4D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7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7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3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7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3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3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3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3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20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0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2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2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25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6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3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5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6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3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5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6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7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8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9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9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2E75B6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0E0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843C0C"/>
      <rgbColor rgb="FF993366"/>
      <rgbColor rgb="FF555555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2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12" min="7" style="1" width="15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18" hidden="false" customHeight="true" outlineLevel="0" collapsed="false">
      <c r="A4" s="4" t="s">
        <v>2</v>
      </c>
      <c r="B4" s="4"/>
      <c r="C4" s="4"/>
      <c r="D4" s="5" t="s">
        <v>3</v>
      </c>
      <c r="E4" s="5"/>
      <c r="F4" s="5"/>
      <c r="G4" s="6" t="s">
        <v>4</v>
      </c>
      <c r="H4" s="6"/>
      <c r="I4" s="6"/>
      <c r="J4" s="7" t="s">
        <v>5</v>
      </c>
      <c r="K4" s="7"/>
      <c r="L4" s="7"/>
    </row>
    <row r="5" customFormat="false" ht="31.5" hidden="false" customHeight="true" outlineLevel="0" collapsed="false">
      <c r="A5" s="8" t="s">
        <v>6</v>
      </c>
      <c r="B5" s="8"/>
      <c r="C5" s="8"/>
      <c r="D5" s="9" t="s">
        <v>7</v>
      </c>
      <c r="E5" s="9"/>
      <c r="F5" s="9"/>
      <c r="G5" s="10" t="s">
        <v>8</v>
      </c>
      <c r="H5" s="10"/>
      <c r="I5" s="10"/>
      <c r="J5" s="11" t="s">
        <v>9</v>
      </c>
      <c r="K5" s="11"/>
      <c r="L5" s="11"/>
    </row>
    <row r="6" customFormat="false" ht="13.5" hidden="false" customHeight="true" outlineLevel="0" collapsed="false">
      <c r="A6" s="12" t="s">
        <v>10</v>
      </c>
      <c r="B6" s="12"/>
      <c r="C6" s="12"/>
      <c r="D6" s="12" t="s">
        <v>11</v>
      </c>
      <c r="E6" s="12"/>
      <c r="F6" s="12"/>
      <c r="G6" s="12" t="s">
        <v>12</v>
      </c>
      <c r="H6" s="12"/>
      <c r="I6" s="12"/>
      <c r="J6" s="12" t="s">
        <v>13</v>
      </c>
      <c r="K6" s="12"/>
      <c r="L6" s="12"/>
    </row>
    <row r="8" customFormat="false" ht="15.75" hidden="false" customHeight="true" outlineLevel="0" collapsed="false">
      <c r="A8" s="13" t="s">
        <v>14</v>
      </c>
      <c r="B8" s="13"/>
      <c r="C8" s="13"/>
      <c r="D8" s="13"/>
      <c r="E8" s="13"/>
      <c r="F8" s="13"/>
    </row>
    <row r="9" customFormat="false" ht="30" hidden="false" customHeight="true" outlineLevel="0" collapsed="false">
      <c r="A9" s="14" t="s">
        <v>15</v>
      </c>
      <c r="B9" s="14" t="s">
        <v>16</v>
      </c>
      <c r="C9" s="14" t="s">
        <v>17</v>
      </c>
      <c r="D9" s="14" t="s">
        <v>18</v>
      </c>
      <c r="E9" s="14" t="s">
        <v>19</v>
      </c>
      <c r="F9" s="14" t="s">
        <v>20</v>
      </c>
    </row>
    <row r="10" customFormat="false" ht="15" hidden="false" customHeight="true" outlineLevel="0" collapsed="false">
      <c r="A10" s="15" t="s">
        <v>21</v>
      </c>
      <c r="B10" s="15" t="s">
        <v>22</v>
      </c>
      <c r="C10" s="16" t="n">
        <v>221472.95</v>
      </c>
      <c r="D10" s="17" t="n">
        <v>5798.59</v>
      </c>
      <c r="E10" s="17" t="n">
        <v>1882.71</v>
      </c>
      <c r="F10" s="17" t="n">
        <v>7681.3</v>
      </c>
    </row>
    <row r="11" customFormat="false" ht="15" hidden="false" customHeight="true" outlineLevel="0" collapsed="false">
      <c r="A11" s="18" t="s">
        <v>23</v>
      </c>
      <c r="B11" s="18" t="s">
        <v>24</v>
      </c>
      <c r="C11" s="19" t="n">
        <v>48444.2</v>
      </c>
      <c r="D11" s="20" t="n">
        <v>1337.27</v>
      </c>
      <c r="E11" s="20" t="n">
        <v>411.82</v>
      </c>
      <c r="F11" s="20" t="n">
        <v>1749.09</v>
      </c>
    </row>
    <row r="12" customFormat="false" ht="15" hidden="false" customHeight="true" outlineLevel="0" collapsed="false">
      <c r="A12" s="15" t="s">
        <v>25</v>
      </c>
      <c r="B12" s="15" t="s">
        <v>26</v>
      </c>
      <c r="C12" s="16" t="n">
        <v>374040.18</v>
      </c>
      <c r="D12" s="17" t="n">
        <v>9432.17</v>
      </c>
      <c r="E12" s="17" t="n">
        <v>3179.68</v>
      </c>
      <c r="F12" s="17" t="n">
        <v>12611.85</v>
      </c>
    </row>
    <row r="13" customFormat="false" ht="15" hidden="false" customHeight="true" outlineLevel="0" collapsed="false">
      <c r="A13" s="18" t="s">
        <v>27</v>
      </c>
      <c r="B13" s="18" t="s">
        <v>28</v>
      </c>
      <c r="C13" s="19" t="n">
        <v>349749.29</v>
      </c>
      <c r="D13" s="20" t="n">
        <v>8299.36</v>
      </c>
      <c r="E13" s="20" t="n">
        <v>2973.19</v>
      </c>
      <c r="F13" s="20" t="n">
        <v>11272.55</v>
      </c>
    </row>
    <row r="14" customFormat="false" ht="15" hidden="false" customHeight="true" outlineLevel="0" collapsed="false">
      <c r="A14" s="15" t="s">
        <v>29</v>
      </c>
      <c r="B14" s="15" t="s">
        <v>30</v>
      </c>
      <c r="C14" s="16" t="n">
        <v>72998.02</v>
      </c>
      <c r="D14" s="17" t="n">
        <v>1587.78</v>
      </c>
      <c r="E14" s="17" t="n">
        <v>620.55</v>
      </c>
      <c r="F14" s="17" t="n">
        <v>2208.33</v>
      </c>
    </row>
    <row r="15" customFormat="false" ht="15" hidden="false" customHeight="true" outlineLevel="0" collapsed="false">
      <c r="A15" s="21" t="s">
        <v>31</v>
      </c>
      <c r="B15" s="21" t="s">
        <v>32</v>
      </c>
      <c r="C15" s="22" t="n">
        <f aca="false">SUM(C10:C14)</f>
        <v>1066704.64</v>
      </c>
      <c r="D15" s="23" t="n">
        <f aca="false">SUM(D10:D14)</f>
        <v>26455.17</v>
      </c>
      <c r="E15" s="23" t="n">
        <f aca="false">SUM(E10:E14)</f>
        <v>9067.95</v>
      </c>
      <c r="F15" s="23" t="n">
        <f aca="false">SUM(F10:F14)</f>
        <v>35523.12</v>
      </c>
    </row>
    <row r="17" customFormat="false" ht="15.75" hidden="false" customHeight="true" outlineLevel="0" collapsed="false">
      <c r="A17" s="13" t="s">
        <v>33</v>
      </c>
      <c r="B17" s="13"/>
      <c r="C17" s="13"/>
      <c r="D17" s="13"/>
      <c r="E17" s="13"/>
      <c r="F17" s="13"/>
    </row>
    <row r="18" customFormat="false" ht="30" hidden="false" customHeight="true" outlineLevel="0" collapsed="false">
      <c r="A18" s="14" t="s">
        <v>34</v>
      </c>
      <c r="B18" s="14" t="s">
        <v>35</v>
      </c>
      <c r="C18" s="14" t="s">
        <v>36</v>
      </c>
      <c r="D18" s="14" t="s">
        <v>37</v>
      </c>
      <c r="E18" s="14" t="s">
        <v>38</v>
      </c>
      <c r="F18" s="14" t="s">
        <v>39</v>
      </c>
    </row>
    <row r="19" customFormat="false" ht="15" hidden="false" customHeight="true" outlineLevel="0" collapsed="false">
      <c r="A19" s="18" t="s">
        <v>40</v>
      </c>
      <c r="B19" s="24" t="s">
        <v>41</v>
      </c>
      <c r="C19" s="19" t="n">
        <v>7775.51</v>
      </c>
      <c r="D19" s="25" t="n">
        <v>7.593271484375</v>
      </c>
      <c r="E19" s="26" t="n">
        <v>0.00728928112659189</v>
      </c>
      <c r="F19" s="24" t="s">
        <v>42</v>
      </c>
    </row>
    <row r="20" customFormat="false" ht="15" hidden="false" customHeight="true" outlineLevel="0" collapsed="false">
      <c r="A20" s="15" t="s">
        <v>43</v>
      </c>
      <c r="B20" s="27" t="s">
        <v>41</v>
      </c>
      <c r="C20" s="16" t="n">
        <v>7401.73</v>
      </c>
      <c r="D20" s="28" t="n">
        <v>7.228251953125</v>
      </c>
      <c r="E20" s="29" t="n">
        <v>0.0069388748510553</v>
      </c>
      <c r="F20" s="27" t="s">
        <v>42</v>
      </c>
    </row>
    <row r="21" customFormat="false" ht="15" hidden="false" customHeight="true" outlineLevel="0" collapsed="false">
      <c r="A21" s="18" t="s">
        <v>44</v>
      </c>
      <c r="B21" s="24" t="s">
        <v>45</v>
      </c>
      <c r="C21" s="19" t="n">
        <v>165555.92</v>
      </c>
      <c r="D21" s="25" t="n">
        <v>161.675703125</v>
      </c>
      <c r="E21" s="26" t="n">
        <v>0.155203149767868</v>
      </c>
      <c r="F21" s="24" t="s">
        <v>46</v>
      </c>
    </row>
    <row r="22" customFormat="false" ht="23.25" hidden="false" customHeight="true" outlineLevel="0" collapsed="false">
      <c r="A22" s="15" t="s">
        <v>47</v>
      </c>
      <c r="B22" s="27" t="s">
        <v>48</v>
      </c>
      <c r="C22" s="16" t="n">
        <v>3195.69</v>
      </c>
      <c r="D22" s="28" t="n">
        <v>3.120791015625</v>
      </c>
      <c r="E22" s="29" t="n">
        <v>0.00299585272264307</v>
      </c>
      <c r="F22" s="27" t="s">
        <v>49</v>
      </c>
    </row>
    <row r="23" customFormat="false" ht="15" hidden="false" customHeight="true" outlineLevel="0" collapsed="false">
      <c r="A23" s="18" t="s">
        <v>50</v>
      </c>
      <c r="B23" s="24" t="s">
        <v>51</v>
      </c>
      <c r="C23" s="19" t="n">
        <v>882775.79</v>
      </c>
      <c r="D23" s="25" t="n">
        <v>862.085732421875</v>
      </c>
      <c r="E23" s="26" t="n">
        <v>0.827572841531841</v>
      </c>
      <c r="F23" s="24" t="s">
        <v>52</v>
      </c>
    </row>
    <row r="24" customFormat="false" ht="15" hidden="false" customHeight="true" outlineLevel="0" collapsed="false">
      <c r="A24" s="21" t="s">
        <v>53</v>
      </c>
      <c r="B24" s="21"/>
      <c r="C24" s="22" t="n">
        <v>1066704.64</v>
      </c>
      <c r="D24" s="30" t="n">
        <v>1041.70375</v>
      </c>
      <c r="E24" s="31" t="n">
        <v>1</v>
      </c>
      <c r="F24" s="21"/>
    </row>
  </sheetData>
  <mergeCells count="16">
    <mergeCell ref="A1:L1"/>
    <mergeCell ref="A2:L2"/>
    <mergeCell ref="A4:C4"/>
    <mergeCell ref="D4:F4"/>
    <mergeCell ref="G4:I4"/>
    <mergeCell ref="J4:L4"/>
    <mergeCell ref="A5:C5"/>
    <mergeCell ref="D5:F5"/>
    <mergeCell ref="G5:I5"/>
    <mergeCell ref="J5:L5"/>
    <mergeCell ref="A6:C6"/>
    <mergeCell ref="D6:F6"/>
    <mergeCell ref="G6:I6"/>
    <mergeCell ref="J6:L6"/>
    <mergeCell ref="A8:F8"/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5" min="4" style="1" width="18"/>
    <col collapsed="false" customWidth="true" hidden="false" outlineLevel="0" max="6" min="6" style="1" width="16"/>
    <col collapsed="false" customWidth="true" hidden="false" outlineLevel="0" max="7" min="7" style="1" width="18"/>
    <col collapsed="false" customWidth="true" hidden="false" outlineLevel="0" max="8" min="8" style="1" width="20"/>
    <col collapsed="false" customWidth="true" hidden="false" outlineLevel="0" max="9" min="9" style="1" width="16"/>
    <col collapsed="false" customWidth="true" hidden="false" outlineLevel="0" max="11" min="10" style="1" width="18"/>
    <col collapsed="false" customWidth="true" hidden="false" outlineLevel="0" max="12" min="12" style="1" width="13"/>
  </cols>
  <sheetData>
    <row r="1" customFormat="false" ht="24" hidden="false" customHeight="true" outlineLevel="0" collapsed="false">
      <c r="A1" s="32" t="s">
        <v>54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customFormat="false" ht="15" hidden="false" customHeight="true" outlineLevel="0" collapsed="false">
      <c r="A2" s="33" t="s">
        <v>55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4" customFormat="false" ht="15.75" hidden="false" customHeight="true" outlineLevel="0" collapsed="false">
      <c r="A4" s="34" t="s">
        <v>56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</row>
    <row r="5" customFormat="false" ht="31.5" hidden="false" customHeight="true" outlineLevel="0" collapsed="false">
      <c r="A5" s="14" t="s">
        <v>57</v>
      </c>
      <c r="B5" s="14" t="s">
        <v>34</v>
      </c>
      <c r="C5" s="14" t="s">
        <v>39</v>
      </c>
      <c r="D5" s="14" t="s">
        <v>58</v>
      </c>
      <c r="E5" s="14" t="s">
        <v>59</v>
      </c>
      <c r="F5" s="14" t="s">
        <v>60</v>
      </c>
      <c r="G5" s="14" t="s">
        <v>61</v>
      </c>
      <c r="H5" s="14" t="s">
        <v>62</v>
      </c>
      <c r="I5" s="14" t="s">
        <v>63</v>
      </c>
      <c r="J5" s="14" t="s">
        <v>64</v>
      </c>
      <c r="K5" s="14" t="s">
        <v>65</v>
      </c>
      <c r="L5" s="14" t="s">
        <v>66</v>
      </c>
      <c r="M5" s="14"/>
    </row>
    <row r="6" customFormat="false" ht="42.75" hidden="false" customHeight="true" outlineLevel="0" collapsed="false">
      <c r="A6" s="35" t="s">
        <v>67</v>
      </c>
      <c r="B6" s="27" t="s">
        <v>68</v>
      </c>
      <c r="C6" s="36" t="n">
        <v>0.02</v>
      </c>
      <c r="D6" s="15" t="s">
        <v>41</v>
      </c>
      <c r="E6" s="37" t="n">
        <v>0.023</v>
      </c>
      <c r="F6" s="37" t="n">
        <v>0.024</v>
      </c>
      <c r="G6" s="38" t="n">
        <v>0</v>
      </c>
      <c r="H6" s="27" t="s">
        <v>69</v>
      </c>
      <c r="I6" s="39" t="n">
        <v>0.18</v>
      </c>
      <c r="J6" s="40" t="n">
        <f aca="false">C6*I6</f>
        <v>0.0036</v>
      </c>
      <c r="K6" s="41" t="n">
        <v>0</v>
      </c>
      <c r="L6" s="42" t="s">
        <v>70</v>
      </c>
    </row>
    <row r="7" customFormat="false" ht="32.25" hidden="false" customHeight="true" outlineLevel="0" collapsed="false">
      <c r="A7" s="43" t="s">
        <v>71</v>
      </c>
      <c r="B7" s="24" t="s">
        <v>44</v>
      </c>
      <c r="C7" s="36" t="n">
        <v>0.015</v>
      </c>
      <c r="D7" s="18" t="s">
        <v>45</v>
      </c>
      <c r="E7" s="37" t="n">
        <v>0.0125</v>
      </c>
      <c r="F7" s="37" t="n">
        <v>0.013</v>
      </c>
      <c r="G7" s="44" t="n">
        <v>0.01</v>
      </c>
      <c r="H7" s="24" t="s">
        <v>72</v>
      </c>
      <c r="I7" s="39" t="n">
        <v>0.18</v>
      </c>
      <c r="J7" s="45" t="n">
        <f aca="false">C7*I7</f>
        <v>0.0027</v>
      </c>
      <c r="K7" s="41" t="n">
        <v>0</v>
      </c>
      <c r="L7" s="46" t="s">
        <v>73</v>
      </c>
    </row>
    <row r="8" customFormat="false" ht="32.25" hidden="false" customHeight="true" outlineLevel="0" collapsed="false">
      <c r="A8" s="35" t="s">
        <v>74</v>
      </c>
      <c r="B8" s="27" t="s">
        <v>47</v>
      </c>
      <c r="C8" s="36" t="n">
        <v>0.01</v>
      </c>
      <c r="D8" s="15" t="s">
        <v>48</v>
      </c>
      <c r="E8" s="37" t="n">
        <v>0.004</v>
      </c>
      <c r="F8" s="37" t="n">
        <v>0.0045</v>
      </c>
      <c r="G8" s="38" t="n">
        <v>0.03</v>
      </c>
      <c r="H8" s="27" t="s">
        <v>75</v>
      </c>
      <c r="I8" s="39" t="n">
        <v>0.18</v>
      </c>
      <c r="J8" s="40" t="n">
        <f aca="false">C8*I8</f>
        <v>0.0018</v>
      </c>
      <c r="K8" s="41" t="n">
        <v>0</v>
      </c>
      <c r="L8" s="42" t="s">
        <v>76</v>
      </c>
    </row>
    <row r="9" customFormat="false" ht="32.25" hidden="false" customHeight="true" outlineLevel="0" collapsed="false">
      <c r="A9" s="43" t="s">
        <v>50</v>
      </c>
      <c r="B9" s="24" t="s">
        <v>50</v>
      </c>
      <c r="C9" s="36" t="n">
        <v>0.002</v>
      </c>
      <c r="D9" s="18" t="s">
        <v>51</v>
      </c>
      <c r="E9" s="37" t="n">
        <v>0.00099</v>
      </c>
      <c r="F9" s="37" t="n">
        <v>0.001</v>
      </c>
      <c r="G9" s="44" t="n">
        <v>0.02</v>
      </c>
      <c r="H9" s="24" t="s">
        <v>77</v>
      </c>
      <c r="I9" s="39" t="n">
        <v>0.18</v>
      </c>
      <c r="J9" s="45" t="n">
        <f aca="false">C9*I9</f>
        <v>0.00036</v>
      </c>
      <c r="K9" s="41" t="n">
        <v>0</v>
      </c>
      <c r="L9" s="46" t="s">
        <v>78</v>
      </c>
    </row>
    <row r="11" customFormat="false" ht="15.75" hidden="false" customHeight="true" outlineLevel="0" collapsed="false">
      <c r="A11" s="34" t="s">
        <v>79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</row>
    <row r="12" customFormat="false" ht="31.5" hidden="false" customHeight="true" outlineLevel="0" collapsed="false">
      <c r="A12" s="21" t="s">
        <v>80</v>
      </c>
      <c r="B12" s="21" t="s">
        <v>36</v>
      </c>
      <c r="C12" s="21" t="s">
        <v>37</v>
      </c>
      <c r="D12" s="21" t="s">
        <v>81</v>
      </c>
      <c r="E12" s="21" t="s">
        <v>82</v>
      </c>
      <c r="F12" s="21" t="s">
        <v>83</v>
      </c>
      <c r="G12" s="21" t="s">
        <v>84</v>
      </c>
      <c r="H12" s="21" t="s">
        <v>85</v>
      </c>
      <c r="I12" s="21" t="s">
        <v>86</v>
      </c>
      <c r="J12" s="21" t="s">
        <v>87</v>
      </c>
      <c r="K12" s="21" t="s">
        <v>88</v>
      </c>
      <c r="L12" s="21" t="s">
        <v>89</v>
      </c>
      <c r="M12" s="21"/>
    </row>
    <row r="13" customFormat="false" ht="15" hidden="false" customHeight="true" outlineLevel="0" collapsed="false">
      <c r="A13" s="35" t="s">
        <v>68</v>
      </c>
      <c r="B13" s="16" t="n">
        <v>15177.24</v>
      </c>
      <c r="C13" s="28" t="n">
        <v>14.8215234375</v>
      </c>
      <c r="D13" s="47" t="n">
        <v>303.5448</v>
      </c>
      <c r="E13" s="47" t="n">
        <v>104.045034265892</v>
      </c>
      <c r="F13" s="47" t="n">
        <v>407.589834265892</v>
      </c>
      <c r="G13" s="48" t="n">
        <v>361.81781298</v>
      </c>
      <c r="H13" s="48" t="n">
        <v>7.2363562596</v>
      </c>
      <c r="I13" s="48" t="n">
        <v>369.0541692396</v>
      </c>
      <c r="J13" s="49" t="n">
        <v>38.5356650262921</v>
      </c>
      <c r="K13" s="49" t="n">
        <v>462.427980315506</v>
      </c>
      <c r="L13" s="29" t="n">
        <v>0.0945452064468156</v>
      </c>
    </row>
    <row r="14" customFormat="false" ht="15" hidden="false" customHeight="true" outlineLevel="0" collapsed="false">
      <c r="A14" s="43" t="s">
        <v>44</v>
      </c>
      <c r="B14" s="19" t="n">
        <v>165555.92</v>
      </c>
      <c r="C14" s="25" t="n">
        <v>161.675703125</v>
      </c>
      <c r="D14" s="47" t="n">
        <v>2483.3388</v>
      </c>
      <c r="E14" s="47" t="n">
        <v>851.205721658942</v>
      </c>
      <c r="F14" s="47" t="n">
        <v>3334.54452165894</v>
      </c>
      <c r="G14" s="48" t="n">
        <v>2144.9838885</v>
      </c>
      <c r="H14" s="48" t="n">
        <v>42.89967777</v>
      </c>
      <c r="I14" s="48" t="n">
        <v>2187.88356627</v>
      </c>
      <c r="J14" s="49" t="n">
        <v>1146.66095538894</v>
      </c>
      <c r="K14" s="49" t="n">
        <v>13759.9314646673</v>
      </c>
      <c r="L14" s="26" t="n">
        <v>0.343873338004939</v>
      </c>
    </row>
    <row r="15" customFormat="false" ht="15" hidden="false" customHeight="true" outlineLevel="0" collapsed="false">
      <c r="A15" s="35" t="s">
        <v>74</v>
      </c>
      <c r="B15" s="16" t="n">
        <v>3195.69</v>
      </c>
      <c r="C15" s="28" t="n">
        <v>3.120791015625</v>
      </c>
      <c r="D15" s="47" t="n">
        <v>31.9569</v>
      </c>
      <c r="E15" s="47" t="n">
        <v>10.9537595621196</v>
      </c>
      <c r="F15" s="47" t="n">
        <v>42.9106595621196</v>
      </c>
      <c r="G15" s="48" t="n">
        <v>13.24933074</v>
      </c>
      <c r="H15" s="48" t="n">
        <v>0.2649866148</v>
      </c>
      <c r="I15" s="48" t="n">
        <v>13.5143173548</v>
      </c>
      <c r="J15" s="49" t="n">
        <v>29.3963422073196</v>
      </c>
      <c r="K15" s="49" t="n">
        <v>352.756106487835</v>
      </c>
      <c r="L15" s="29" t="n">
        <v>0.685059202242371</v>
      </c>
    </row>
    <row r="16" customFormat="false" ht="15" hidden="false" customHeight="true" outlineLevel="0" collapsed="false">
      <c r="A16" s="43" t="s">
        <v>50</v>
      </c>
      <c r="B16" s="19" t="n">
        <v>882775.79</v>
      </c>
      <c r="C16" s="25" t="n">
        <v>862.085732421875</v>
      </c>
      <c r="D16" s="47" t="n">
        <v>1765.55158</v>
      </c>
      <c r="E16" s="47" t="n">
        <v>605.172200740385</v>
      </c>
      <c r="F16" s="47" t="n">
        <v>2370.72378074039</v>
      </c>
      <c r="G16" s="48" t="n">
        <v>905.84713527165</v>
      </c>
      <c r="H16" s="48" t="n">
        <v>18.116942705433</v>
      </c>
      <c r="I16" s="48" t="n">
        <v>923.964077977083</v>
      </c>
      <c r="J16" s="49" t="n">
        <v>1446.7597027633</v>
      </c>
      <c r="K16" s="49" t="n">
        <v>17361.1164331596</v>
      </c>
      <c r="L16" s="26" t="n">
        <v>0.610260762774934</v>
      </c>
    </row>
    <row r="17" customFormat="false" ht="15" hidden="false" customHeight="true" outlineLevel="0" collapsed="false">
      <c r="A17" s="50" t="s">
        <v>53</v>
      </c>
      <c r="B17" s="22" t="n">
        <f aca="false">SUM(B13:B16)</f>
        <v>1066704.64</v>
      </c>
      <c r="C17" s="30" t="n">
        <f aca="false">SUM(C13:C16)</f>
        <v>1041.70375</v>
      </c>
      <c r="D17" s="23" t="n">
        <f aca="false">SUM(D13:D16)</f>
        <v>4584.39208</v>
      </c>
      <c r="E17" s="23" t="n">
        <f aca="false">SUM(E13:E16)</f>
        <v>1571.37671622734</v>
      </c>
      <c r="F17" s="23" t="n">
        <f aca="false">SUM(F13:F16)</f>
        <v>6155.76879622734</v>
      </c>
      <c r="G17" s="23" t="n">
        <f aca="false">SUM(G13:G16)</f>
        <v>3425.89816749165</v>
      </c>
      <c r="H17" s="23" t="n">
        <f aca="false">SUM(H13:H16)</f>
        <v>68.517963349833</v>
      </c>
      <c r="I17" s="23" t="n">
        <f aca="false">SUM(I13:I16)</f>
        <v>3494.41613084148</v>
      </c>
      <c r="J17" s="23" t="n">
        <f aca="false">SUM(J13:J16)</f>
        <v>2661.35266538585</v>
      </c>
      <c r="K17" s="23" t="n">
        <f aca="false">SUM(K13:K16)</f>
        <v>31936.2319846302</v>
      </c>
      <c r="L17" s="31" t="n">
        <f aca="false">J17/F17</f>
        <v>0.432334734049288</v>
      </c>
    </row>
    <row r="19" customFormat="false" ht="15" hidden="false" customHeight="true" outlineLevel="0" collapsed="false">
      <c r="A19" s="51" t="s">
        <v>90</v>
      </c>
      <c r="B19" s="51"/>
      <c r="C19" s="51"/>
    </row>
    <row r="20" customFormat="false" ht="23.25" hidden="false" customHeight="true" outlineLevel="0" collapsed="false">
      <c r="A20" s="52" t="s">
        <v>91</v>
      </c>
      <c r="B20" s="53" t="n">
        <f aca="false">F17*12</f>
        <v>73869.2255547281</v>
      </c>
      <c r="C20" s="53"/>
    </row>
    <row r="21" customFormat="false" ht="23.25" hidden="false" customHeight="true" outlineLevel="0" collapsed="false">
      <c r="A21" s="52" t="s">
        <v>92</v>
      </c>
      <c r="B21" s="53" t="n">
        <f aca="false">I17*12</f>
        <v>41932.9935700978</v>
      </c>
      <c r="C21" s="53"/>
    </row>
    <row r="22" customFormat="false" ht="15" hidden="false" customHeight="true" outlineLevel="0" collapsed="false">
      <c r="A22" s="52" t="s">
        <v>93</v>
      </c>
      <c r="B22" s="53" t="n">
        <f aca="false">K17*12</f>
        <v>383234.783815563</v>
      </c>
      <c r="C22" s="53"/>
    </row>
    <row r="23" customFormat="false" ht="15" hidden="false" customHeight="true" outlineLevel="0" collapsed="false">
      <c r="A23" s="52" t="s">
        <v>94</v>
      </c>
      <c r="B23" s="54" t="n">
        <f aca="false">B22/B20</f>
        <v>5.18801680859146</v>
      </c>
      <c r="C23" s="54"/>
    </row>
  </sheetData>
  <mergeCells count="9">
    <mergeCell ref="A1:M1"/>
    <mergeCell ref="A2:M2"/>
    <mergeCell ref="A4:M4"/>
    <mergeCell ref="A11:M11"/>
    <mergeCell ref="A19:C19"/>
    <mergeCell ref="B20:C20"/>
    <mergeCell ref="B21:C21"/>
    <mergeCell ref="B22:C22"/>
    <mergeCell ref="B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5" min="4" style="1" width="14"/>
    <col collapsed="false" customWidth="true" hidden="false" outlineLevel="0" max="7" min="6" style="1" width="12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0" min="10" style="1" width="14"/>
  </cols>
  <sheetData>
    <row r="1" customFormat="false" ht="24" hidden="false" customHeight="true" outlineLevel="0" collapsed="false">
      <c r="A1" s="32" t="s">
        <v>95</v>
      </c>
      <c r="B1" s="32"/>
      <c r="C1" s="32"/>
      <c r="D1" s="32"/>
      <c r="E1" s="32"/>
      <c r="F1" s="32"/>
      <c r="G1" s="32"/>
      <c r="H1" s="32"/>
      <c r="I1" s="32"/>
      <c r="J1" s="32"/>
    </row>
    <row r="3" customFormat="false" ht="15.75" hidden="false" customHeight="true" outlineLevel="0" collapsed="false">
      <c r="A3" s="34" t="s">
        <v>96</v>
      </c>
      <c r="B3" s="34"/>
      <c r="C3" s="34"/>
      <c r="D3" s="34"/>
      <c r="E3" s="34"/>
      <c r="F3" s="34"/>
      <c r="G3" s="34"/>
      <c r="H3" s="34"/>
      <c r="I3" s="34"/>
      <c r="J3" s="34"/>
    </row>
    <row r="4" customFormat="false" ht="30" hidden="false" customHeight="true" outlineLevel="0" collapsed="false">
      <c r="A4" s="14" t="s">
        <v>97</v>
      </c>
      <c r="B4" s="14" t="s">
        <v>98</v>
      </c>
      <c r="C4" s="14" t="s">
        <v>99</v>
      </c>
      <c r="D4" s="14" t="s">
        <v>100</v>
      </c>
      <c r="E4" s="14" t="s">
        <v>101</v>
      </c>
      <c r="F4" s="14" t="s">
        <v>102</v>
      </c>
      <c r="G4" s="14" t="s">
        <v>66</v>
      </c>
      <c r="H4" s="14"/>
      <c r="I4" s="14"/>
      <c r="J4" s="14"/>
    </row>
    <row r="5" customFormat="false" ht="42.75" hidden="false" customHeight="true" outlineLevel="0" collapsed="false">
      <c r="A5" s="18" t="s">
        <v>103</v>
      </c>
      <c r="B5" s="24" t="s">
        <v>104</v>
      </c>
      <c r="C5" s="24" t="s">
        <v>105</v>
      </c>
      <c r="D5" s="55" t="n">
        <v>1042</v>
      </c>
      <c r="E5" s="56" t="n">
        <v>0</v>
      </c>
      <c r="F5" s="49" t="n">
        <v>0</v>
      </c>
      <c r="G5" s="46" t="s">
        <v>106</v>
      </c>
      <c r="H5" s="57"/>
      <c r="I5" s="57"/>
      <c r="J5" s="57"/>
    </row>
    <row r="6" customFormat="false" ht="53.25" hidden="false" customHeight="true" outlineLevel="0" collapsed="false">
      <c r="A6" s="15" t="s">
        <v>107</v>
      </c>
      <c r="B6" s="27" t="s">
        <v>104</v>
      </c>
      <c r="C6" s="27" t="s">
        <v>108</v>
      </c>
      <c r="D6" s="55" t="n">
        <v>1042</v>
      </c>
      <c r="E6" s="56" t="n">
        <v>8.7</v>
      </c>
      <c r="F6" s="49" t="n">
        <f aca="false">D6*E6</f>
        <v>9065.4</v>
      </c>
      <c r="G6" s="42" t="s">
        <v>109</v>
      </c>
      <c r="H6" s="57"/>
      <c r="I6" s="57"/>
      <c r="J6" s="57"/>
    </row>
    <row r="7" customFormat="false" ht="32.25" hidden="false" customHeight="true" outlineLevel="0" collapsed="false">
      <c r="A7" s="18" t="s">
        <v>110</v>
      </c>
      <c r="B7" s="24" t="s">
        <v>111</v>
      </c>
      <c r="C7" s="24" t="s">
        <v>112</v>
      </c>
      <c r="D7" s="55" t="n">
        <v>1067008</v>
      </c>
      <c r="E7" s="56" t="n">
        <v>0.0125</v>
      </c>
      <c r="F7" s="49" t="n">
        <f aca="false">D7*E7</f>
        <v>13337.6</v>
      </c>
      <c r="G7" s="46" t="s">
        <v>113</v>
      </c>
      <c r="H7" s="57"/>
      <c r="I7" s="57"/>
      <c r="J7" s="57"/>
    </row>
    <row r="8" customFormat="false" ht="53.25" hidden="false" customHeight="true" outlineLevel="0" collapsed="false">
      <c r="A8" s="15" t="s">
        <v>114</v>
      </c>
      <c r="B8" s="27" t="s">
        <v>115</v>
      </c>
      <c r="C8" s="27" t="s">
        <v>116</v>
      </c>
      <c r="D8" s="55" t="n">
        <v>5</v>
      </c>
      <c r="E8" s="56" t="n">
        <v>0</v>
      </c>
      <c r="F8" s="49" t="n">
        <v>0</v>
      </c>
      <c r="G8" s="42" t="s">
        <v>117</v>
      </c>
      <c r="H8" s="57"/>
      <c r="I8" s="57"/>
      <c r="J8" s="57"/>
    </row>
    <row r="9" customFormat="false" ht="53.25" hidden="false" customHeight="true" outlineLevel="0" collapsed="false">
      <c r="A9" s="18" t="s">
        <v>118</v>
      </c>
      <c r="B9" s="24" t="s">
        <v>115</v>
      </c>
      <c r="C9" s="24" t="s">
        <v>119</v>
      </c>
      <c r="D9" s="55" t="n">
        <v>5</v>
      </c>
      <c r="E9" s="56" t="n">
        <v>1200</v>
      </c>
      <c r="F9" s="49" t="n">
        <f aca="false">D9*E9</f>
        <v>6000</v>
      </c>
      <c r="G9" s="46" t="s">
        <v>120</v>
      </c>
      <c r="H9" s="57"/>
      <c r="I9" s="57"/>
      <c r="J9" s="57"/>
    </row>
    <row r="10" customFormat="false" ht="42.75" hidden="false" customHeight="true" outlineLevel="0" collapsed="false">
      <c r="A10" s="15" t="s">
        <v>121</v>
      </c>
      <c r="B10" s="27" t="s">
        <v>122</v>
      </c>
      <c r="C10" s="27" t="s">
        <v>123</v>
      </c>
      <c r="D10" s="55" t="n">
        <v>5</v>
      </c>
      <c r="E10" s="56" t="n">
        <v>1500</v>
      </c>
      <c r="F10" s="49" t="n">
        <f aca="false">D10*E10</f>
        <v>7500</v>
      </c>
      <c r="G10" s="42" t="s">
        <v>124</v>
      </c>
      <c r="H10" s="57"/>
      <c r="I10" s="57"/>
      <c r="J10" s="57"/>
    </row>
    <row r="11" customFormat="false" ht="32.25" hidden="false" customHeight="true" outlineLevel="0" collapsed="false">
      <c r="A11" s="18" t="s">
        <v>125</v>
      </c>
      <c r="B11" s="24" t="s">
        <v>122</v>
      </c>
      <c r="C11" s="24" t="s">
        <v>123</v>
      </c>
      <c r="D11" s="55" t="n">
        <v>5</v>
      </c>
      <c r="E11" s="56" t="n">
        <v>800</v>
      </c>
      <c r="F11" s="49" t="n">
        <f aca="false">D11*E11</f>
        <v>4000</v>
      </c>
      <c r="G11" s="46" t="s">
        <v>126</v>
      </c>
      <c r="H11" s="57"/>
      <c r="I11" s="57"/>
      <c r="J11" s="57"/>
    </row>
    <row r="12" customFormat="false" ht="42.75" hidden="false" customHeight="true" outlineLevel="0" collapsed="false">
      <c r="A12" s="15" t="s">
        <v>127</v>
      </c>
      <c r="B12" s="27" t="s">
        <v>122</v>
      </c>
      <c r="C12" s="27" t="s">
        <v>123</v>
      </c>
      <c r="D12" s="55" t="n">
        <v>3</v>
      </c>
      <c r="E12" s="56" t="n">
        <v>800</v>
      </c>
      <c r="F12" s="49" t="n">
        <f aca="false">D12*E12</f>
        <v>2400</v>
      </c>
      <c r="G12" s="42" t="s">
        <v>128</v>
      </c>
      <c r="H12" s="57"/>
      <c r="I12" s="57"/>
      <c r="J12" s="57"/>
    </row>
    <row r="13" customFormat="false" ht="21.75" hidden="false" customHeight="true" outlineLevel="0" collapsed="false">
      <c r="A13" s="18" t="s">
        <v>129</v>
      </c>
      <c r="B13" s="24" t="s">
        <v>130</v>
      </c>
      <c r="C13" s="24" t="s">
        <v>131</v>
      </c>
      <c r="D13" s="55" t="n">
        <v>1</v>
      </c>
      <c r="E13" s="56" t="n">
        <v>500</v>
      </c>
      <c r="F13" s="49" t="n">
        <f aca="false">D13*E13</f>
        <v>500</v>
      </c>
      <c r="G13" s="46" t="s">
        <v>132</v>
      </c>
      <c r="H13" s="57"/>
      <c r="I13" s="57"/>
      <c r="J13" s="57"/>
    </row>
    <row r="14" customFormat="false" ht="42.75" hidden="false" customHeight="true" outlineLevel="0" collapsed="false">
      <c r="A14" s="15" t="s">
        <v>133</v>
      </c>
      <c r="B14" s="27" t="s">
        <v>130</v>
      </c>
      <c r="C14" s="27" t="s">
        <v>131</v>
      </c>
      <c r="D14" s="55" t="n">
        <v>1</v>
      </c>
      <c r="E14" s="56" t="n">
        <v>500</v>
      </c>
      <c r="F14" s="49" t="n">
        <f aca="false">SUM(F5:F13)*0.1</f>
        <v>4280.3</v>
      </c>
      <c r="G14" s="42" t="s">
        <v>134</v>
      </c>
      <c r="H14" s="57"/>
      <c r="I14" s="57"/>
      <c r="J14" s="57"/>
    </row>
    <row r="15" customFormat="false" ht="15" hidden="false" customHeight="true" outlineLevel="0" collapsed="false">
      <c r="A15" s="18" t="s">
        <v>135</v>
      </c>
      <c r="B15" s="24" t="s">
        <v>136</v>
      </c>
      <c r="C15" s="24" t="s">
        <v>131</v>
      </c>
      <c r="D15" s="55" t="n">
        <v>1</v>
      </c>
      <c r="E15" s="58"/>
      <c r="F15" s="49" t="n">
        <f aca="false">D15*E15</f>
        <v>0</v>
      </c>
      <c r="G15" s="46"/>
      <c r="H15" s="57"/>
      <c r="I15" s="57"/>
      <c r="J15" s="57"/>
    </row>
    <row r="16" customFormat="false" ht="23.25" hidden="false" customHeight="true" outlineLevel="0" collapsed="false">
      <c r="A16" s="50" t="s">
        <v>137</v>
      </c>
      <c r="B16" s="59"/>
      <c r="C16" s="59"/>
      <c r="D16" s="59"/>
      <c r="E16" s="59"/>
      <c r="F16" s="60" t="n">
        <f aca="false">SUM(F5:F15)</f>
        <v>47083.3</v>
      </c>
      <c r="G16" s="59"/>
      <c r="H16" s="59"/>
      <c r="I16" s="59"/>
      <c r="J16" s="59"/>
    </row>
    <row r="18" customFormat="false" ht="15" hidden="false" customHeight="true" outlineLevel="0" collapsed="false">
      <c r="A18" s="34" t="s">
        <v>138</v>
      </c>
      <c r="B18" s="34"/>
      <c r="C18" s="34"/>
      <c r="D18" s="34"/>
      <c r="E18" s="34"/>
      <c r="F18" s="34"/>
      <c r="G18" s="34"/>
      <c r="H18" s="34"/>
      <c r="I18" s="34"/>
      <c r="J18" s="34"/>
    </row>
    <row r="19" customFormat="false" ht="15" hidden="false" customHeight="true" outlineLevel="0" collapsed="false">
      <c r="A19" s="61" t="s">
        <v>139</v>
      </c>
      <c r="B19" s="61"/>
      <c r="C19" s="61"/>
      <c r="D19" s="61"/>
      <c r="E19" s="62" t="n">
        <f aca="false">F16</f>
        <v>47083.3</v>
      </c>
      <c r="F19" s="62"/>
      <c r="G19" s="62"/>
    </row>
    <row r="20" customFormat="false" ht="15" hidden="false" customHeight="true" outlineLevel="0" collapsed="false">
      <c r="A20" s="61" t="s">
        <v>140</v>
      </c>
      <c r="B20" s="61"/>
      <c r="C20" s="61"/>
      <c r="D20" s="61"/>
      <c r="E20" s="62" t="n">
        <f aca="false">27388</f>
        <v>27388</v>
      </c>
      <c r="F20" s="62"/>
      <c r="G20" s="62"/>
    </row>
    <row r="21" customFormat="false" ht="15" hidden="false" customHeight="true" outlineLevel="0" collapsed="false">
      <c r="A21" s="61" t="s">
        <v>141</v>
      </c>
      <c r="B21" s="61"/>
      <c r="C21" s="61"/>
      <c r="D21" s="61"/>
      <c r="E21" s="63" t="n">
        <f aca="false">F16/27388</f>
        <v>1.71912151307142</v>
      </c>
      <c r="F21" s="63"/>
      <c r="G21" s="63"/>
    </row>
    <row r="22" customFormat="false" ht="15" hidden="false" customHeight="true" outlineLevel="0" collapsed="false">
      <c r="A22" s="61" t="s">
        <v>142</v>
      </c>
      <c r="B22" s="61"/>
      <c r="C22" s="61"/>
      <c r="D22" s="61"/>
      <c r="E22" s="62" t="n">
        <f aca="false">27388*12-F16</f>
        <v>281572.7</v>
      </c>
      <c r="F22" s="62"/>
      <c r="G22" s="62"/>
    </row>
    <row r="23" customFormat="false" ht="15" hidden="false" customHeight="true" outlineLevel="0" collapsed="false">
      <c r="A23" s="61" t="s">
        <v>143</v>
      </c>
      <c r="B23" s="61"/>
      <c r="C23" s="61"/>
      <c r="D23" s="61"/>
      <c r="E23" s="62" t="n">
        <f aca="false">27388*36-F16</f>
        <v>938884.7</v>
      </c>
      <c r="F23" s="62"/>
      <c r="G23" s="62"/>
    </row>
    <row r="26" customFormat="false" ht="15" hidden="false" customHeight="true" outlineLevel="0" collapsed="false">
      <c r="A26" s="34" t="s">
        <v>144</v>
      </c>
      <c r="B26" s="34"/>
      <c r="C26" s="34"/>
      <c r="D26" s="34"/>
      <c r="E26" s="34"/>
      <c r="F26" s="34"/>
      <c r="G26" s="34"/>
      <c r="H26" s="34"/>
      <c r="I26" s="34"/>
      <c r="J26" s="34"/>
    </row>
    <row r="27" customFormat="false" ht="27.75" hidden="false" customHeight="true" outlineLevel="0" collapsed="false">
      <c r="A27" s="21" t="s">
        <v>145</v>
      </c>
      <c r="B27" s="21" t="s">
        <v>146</v>
      </c>
      <c r="C27" s="21" t="s">
        <v>147</v>
      </c>
      <c r="D27" s="21" t="s">
        <v>148</v>
      </c>
      <c r="E27" s="21" t="s">
        <v>149</v>
      </c>
      <c r="F27" s="21"/>
      <c r="G27" s="21"/>
      <c r="H27" s="21"/>
      <c r="I27" s="21"/>
      <c r="J27" s="21"/>
    </row>
    <row r="28" customFormat="false" ht="48" hidden="false" customHeight="true" outlineLevel="0" collapsed="false">
      <c r="A28" s="52" t="s">
        <v>150</v>
      </c>
      <c r="B28" s="27" t="s">
        <v>151</v>
      </c>
      <c r="C28" s="64" t="s">
        <v>152</v>
      </c>
      <c r="D28" s="64"/>
      <c r="E28" s="64"/>
      <c r="F28" s="64"/>
      <c r="G28" s="64"/>
      <c r="H28" s="27" t="s">
        <v>153</v>
      </c>
      <c r="I28" s="64" t="s">
        <v>154</v>
      </c>
      <c r="J28" s="64"/>
    </row>
    <row r="29" customFormat="false" ht="48" hidden="false" customHeight="true" outlineLevel="0" collapsed="false">
      <c r="A29" s="52" t="s">
        <v>155</v>
      </c>
      <c r="B29" s="24" t="s">
        <v>156</v>
      </c>
      <c r="C29" s="65" t="s">
        <v>157</v>
      </c>
      <c r="D29" s="65"/>
      <c r="E29" s="65"/>
      <c r="F29" s="65"/>
      <c r="G29" s="65"/>
      <c r="H29" s="24" t="s">
        <v>158</v>
      </c>
      <c r="I29" s="65" t="s">
        <v>159</v>
      </c>
      <c r="J29" s="65"/>
    </row>
    <row r="30" customFormat="false" ht="48" hidden="false" customHeight="true" outlineLevel="0" collapsed="false">
      <c r="A30" s="52" t="s">
        <v>160</v>
      </c>
      <c r="B30" s="27" t="s">
        <v>161</v>
      </c>
      <c r="C30" s="64" t="s">
        <v>162</v>
      </c>
      <c r="D30" s="64"/>
      <c r="E30" s="64"/>
      <c r="F30" s="64"/>
      <c r="G30" s="64"/>
      <c r="H30" s="27" t="s">
        <v>153</v>
      </c>
      <c r="I30" s="64" t="s">
        <v>163</v>
      </c>
      <c r="J30" s="64"/>
    </row>
    <row r="31" customFormat="false" ht="48" hidden="false" customHeight="true" outlineLevel="0" collapsed="false">
      <c r="A31" s="52" t="s">
        <v>164</v>
      </c>
      <c r="B31" s="24" t="s">
        <v>165</v>
      </c>
      <c r="C31" s="65" t="s">
        <v>166</v>
      </c>
      <c r="D31" s="65"/>
      <c r="E31" s="65"/>
      <c r="F31" s="65"/>
      <c r="G31" s="65"/>
      <c r="H31" s="24" t="s">
        <v>153</v>
      </c>
      <c r="I31" s="65" t="s">
        <v>167</v>
      </c>
      <c r="J31" s="65"/>
    </row>
    <row r="32" customFormat="false" ht="48" hidden="false" customHeight="true" outlineLevel="0" collapsed="false">
      <c r="A32" s="52" t="s">
        <v>168</v>
      </c>
      <c r="B32" s="27" t="s">
        <v>169</v>
      </c>
      <c r="C32" s="64" t="s">
        <v>170</v>
      </c>
      <c r="D32" s="64"/>
      <c r="E32" s="64"/>
      <c r="F32" s="64"/>
      <c r="G32" s="64"/>
      <c r="H32" s="27" t="s">
        <v>171</v>
      </c>
      <c r="I32" s="64" t="s">
        <v>172</v>
      </c>
      <c r="J32" s="64"/>
    </row>
  </sheetData>
  <mergeCells count="24">
    <mergeCell ref="A1:J1"/>
    <mergeCell ref="A3:J3"/>
    <mergeCell ref="A18:J18"/>
    <mergeCell ref="A19:D19"/>
    <mergeCell ref="E19:G19"/>
    <mergeCell ref="A20:D20"/>
    <mergeCell ref="E20:G20"/>
    <mergeCell ref="A21:D21"/>
    <mergeCell ref="E21:G21"/>
    <mergeCell ref="A22:D22"/>
    <mergeCell ref="E22:G22"/>
    <mergeCell ref="A23:D23"/>
    <mergeCell ref="E23:G23"/>
    <mergeCell ref="A26:J26"/>
    <mergeCell ref="C28:G28"/>
    <mergeCell ref="I28:J28"/>
    <mergeCell ref="C29:G29"/>
    <mergeCell ref="I29:J29"/>
    <mergeCell ref="C30:G30"/>
    <mergeCell ref="I30:J30"/>
    <mergeCell ref="C31:G31"/>
    <mergeCell ref="I31:J31"/>
    <mergeCell ref="C32:G32"/>
    <mergeCell ref="I32:J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0" min="2" style="1" width="14"/>
  </cols>
  <sheetData>
    <row r="1" customFormat="false" ht="24" hidden="false" customHeight="true" outlineLevel="0" collapsed="false">
      <c r="A1" s="32" t="s">
        <v>173</v>
      </c>
      <c r="B1" s="32"/>
      <c r="C1" s="32"/>
      <c r="D1" s="32"/>
      <c r="E1" s="32"/>
      <c r="F1" s="32"/>
      <c r="G1" s="32"/>
      <c r="H1" s="32"/>
      <c r="I1" s="32"/>
      <c r="J1" s="32"/>
    </row>
    <row r="3" customFormat="false" ht="18" hidden="false" customHeight="true" outlineLevel="0" collapsed="false">
      <c r="A3" s="34" t="s">
        <v>174</v>
      </c>
      <c r="B3" s="34"/>
      <c r="C3" s="34"/>
      <c r="D3" s="34"/>
      <c r="E3" s="34"/>
      <c r="F3" s="34"/>
      <c r="G3" s="34"/>
      <c r="H3" s="34"/>
      <c r="I3" s="34"/>
      <c r="J3" s="34"/>
    </row>
    <row r="4" customFormat="false" ht="36" hidden="false" customHeight="true" outlineLevel="0" collapsed="false">
      <c r="A4" s="66" t="s">
        <v>175</v>
      </c>
      <c r="B4" s="67" t="s">
        <v>176</v>
      </c>
      <c r="C4" s="67"/>
      <c r="D4" s="67"/>
      <c r="E4" s="67"/>
      <c r="F4" s="67"/>
      <c r="G4" s="67"/>
      <c r="H4" s="67"/>
      <c r="I4" s="67"/>
      <c r="J4" s="67"/>
    </row>
    <row r="5" customFormat="false" ht="36" hidden="false" customHeight="true" outlineLevel="0" collapsed="false">
      <c r="A5" s="66" t="s">
        <v>177</v>
      </c>
      <c r="B5" s="67" t="s">
        <v>178</v>
      </c>
      <c r="C5" s="67"/>
      <c r="D5" s="67"/>
      <c r="E5" s="67"/>
      <c r="F5" s="67"/>
      <c r="G5" s="67"/>
      <c r="H5" s="67"/>
      <c r="I5" s="67"/>
      <c r="J5" s="67"/>
    </row>
    <row r="6" customFormat="false" ht="36" hidden="false" customHeight="true" outlineLevel="0" collapsed="false">
      <c r="A6" s="66" t="s">
        <v>179</v>
      </c>
      <c r="B6" s="67" t="s">
        <v>180</v>
      </c>
      <c r="C6" s="67"/>
      <c r="D6" s="67"/>
      <c r="E6" s="67"/>
      <c r="F6" s="67"/>
      <c r="G6" s="67"/>
      <c r="H6" s="67"/>
      <c r="I6" s="67"/>
      <c r="J6" s="67"/>
    </row>
    <row r="7" customFormat="false" ht="36" hidden="false" customHeight="true" outlineLevel="0" collapsed="false">
      <c r="A7" s="66" t="s">
        <v>181</v>
      </c>
      <c r="B7" s="67" t="s">
        <v>182</v>
      </c>
      <c r="C7" s="67"/>
      <c r="D7" s="67"/>
      <c r="E7" s="67"/>
      <c r="F7" s="67"/>
      <c r="G7" s="67"/>
      <c r="H7" s="67"/>
      <c r="I7" s="67"/>
      <c r="J7" s="67"/>
    </row>
    <row r="8" customFormat="false" ht="36" hidden="false" customHeight="true" outlineLevel="0" collapsed="false">
      <c r="A8" s="66" t="s">
        <v>183</v>
      </c>
      <c r="B8" s="67" t="s">
        <v>184</v>
      </c>
      <c r="C8" s="67"/>
      <c r="D8" s="67"/>
      <c r="E8" s="67"/>
      <c r="F8" s="67"/>
      <c r="G8" s="67"/>
      <c r="H8" s="67"/>
      <c r="I8" s="67"/>
      <c r="J8" s="67"/>
    </row>
    <row r="9" customFormat="false" ht="36" hidden="false" customHeight="true" outlineLevel="0" collapsed="false">
      <c r="A9" s="66" t="s">
        <v>185</v>
      </c>
      <c r="B9" s="67" t="s">
        <v>186</v>
      </c>
      <c r="C9" s="67"/>
      <c r="D9" s="67"/>
      <c r="E9" s="67"/>
      <c r="F9" s="67"/>
      <c r="G9" s="67"/>
      <c r="H9" s="67"/>
      <c r="I9" s="67"/>
      <c r="J9" s="67"/>
    </row>
    <row r="11" customFormat="false" ht="18" hidden="false" customHeight="true" outlineLevel="0" collapsed="false">
      <c r="A11" s="68" t="s">
        <v>187</v>
      </c>
      <c r="B11" s="68"/>
      <c r="C11" s="68"/>
      <c r="D11" s="68"/>
      <c r="E11" s="68"/>
      <c r="F11" s="68"/>
      <c r="G11" s="68"/>
      <c r="H11" s="68"/>
      <c r="I11" s="68"/>
      <c r="J11" s="68"/>
    </row>
    <row r="12" customFormat="false" ht="36" hidden="false" customHeight="true" outlineLevel="0" collapsed="false">
      <c r="A12" s="66" t="s">
        <v>188</v>
      </c>
      <c r="B12" s="67" t="s">
        <v>189</v>
      </c>
      <c r="C12" s="67"/>
      <c r="D12" s="67"/>
      <c r="E12" s="67"/>
      <c r="F12" s="67"/>
      <c r="G12" s="67"/>
      <c r="H12" s="67"/>
      <c r="I12" s="67"/>
      <c r="J12" s="67"/>
    </row>
    <row r="13" customFormat="false" ht="36" hidden="false" customHeight="true" outlineLevel="0" collapsed="false">
      <c r="A13" s="66" t="s">
        <v>190</v>
      </c>
      <c r="B13" s="67" t="s">
        <v>191</v>
      </c>
      <c r="C13" s="67"/>
      <c r="D13" s="67"/>
      <c r="E13" s="67"/>
      <c r="F13" s="67"/>
      <c r="G13" s="67"/>
      <c r="H13" s="67"/>
      <c r="I13" s="67"/>
      <c r="J13" s="67"/>
    </row>
    <row r="14" customFormat="false" ht="36" hidden="false" customHeight="true" outlineLevel="0" collapsed="false">
      <c r="A14" s="66" t="s">
        <v>192</v>
      </c>
      <c r="B14" s="67" t="s">
        <v>193</v>
      </c>
      <c r="C14" s="67"/>
      <c r="D14" s="67"/>
      <c r="E14" s="67"/>
      <c r="F14" s="67"/>
      <c r="G14" s="67"/>
      <c r="H14" s="67"/>
      <c r="I14" s="67"/>
      <c r="J14" s="67"/>
    </row>
    <row r="15" customFormat="false" ht="36" hidden="false" customHeight="true" outlineLevel="0" collapsed="false">
      <c r="A15" s="66" t="s">
        <v>194</v>
      </c>
      <c r="B15" s="67" t="s">
        <v>195</v>
      </c>
      <c r="C15" s="67"/>
      <c r="D15" s="67"/>
      <c r="E15" s="67"/>
      <c r="F15" s="67"/>
      <c r="G15" s="67"/>
      <c r="H15" s="67"/>
      <c r="I15" s="67"/>
      <c r="J15" s="67"/>
    </row>
    <row r="16" customFormat="false" ht="36" hidden="false" customHeight="true" outlineLevel="0" collapsed="false">
      <c r="A16" s="66" t="s">
        <v>196</v>
      </c>
      <c r="B16" s="67" t="s">
        <v>197</v>
      </c>
      <c r="C16" s="67"/>
      <c r="D16" s="67"/>
      <c r="E16" s="67"/>
      <c r="F16" s="67"/>
      <c r="G16" s="67"/>
      <c r="H16" s="67"/>
      <c r="I16" s="67"/>
      <c r="J16" s="67"/>
    </row>
    <row r="17" customFormat="false" ht="36" hidden="false" customHeight="true" outlineLevel="0" collapsed="false">
      <c r="A17" s="66" t="s">
        <v>198</v>
      </c>
      <c r="B17" s="67" t="s">
        <v>199</v>
      </c>
      <c r="C17" s="67"/>
      <c r="D17" s="67"/>
      <c r="E17" s="67"/>
      <c r="F17" s="67"/>
      <c r="G17" s="67"/>
      <c r="H17" s="67"/>
      <c r="I17" s="67"/>
      <c r="J17" s="67"/>
    </row>
    <row r="19" customFormat="false" ht="18" hidden="false" customHeight="true" outlineLevel="0" collapsed="false">
      <c r="A19" s="69" t="s">
        <v>200</v>
      </c>
      <c r="B19" s="69"/>
      <c r="C19" s="69"/>
      <c r="D19" s="69"/>
      <c r="E19" s="69"/>
      <c r="F19" s="69"/>
      <c r="G19" s="69"/>
      <c r="H19" s="69"/>
      <c r="I19" s="69"/>
      <c r="J19" s="69"/>
    </row>
    <row r="20" customFormat="false" ht="36" hidden="false" customHeight="true" outlineLevel="0" collapsed="false">
      <c r="A20" s="66" t="s">
        <v>201</v>
      </c>
      <c r="B20" s="67" t="s">
        <v>202</v>
      </c>
      <c r="C20" s="67"/>
      <c r="D20" s="67"/>
      <c r="E20" s="67"/>
      <c r="F20" s="67"/>
      <c r="G20" s="67"/>
      <c r="H20" s="67"/>
      <c r="I20" s="67"/>
      <c r="J20" s="67"/>
    </row>
    <row r="21" customFormat="false" ht="36" hidden="false" customHeight="true" outlineLevel="0" collapsed="false">
      <c r="A21" s="66" t="s">
        <v>203</v>
      </c>
      <c r="B21" s="67" t="s">
        <v>204</v>
      </c>
      <c r="C21" s="67"/>
      <c r="D21" s="67"/>
      <c r="E21" s="67"/>
      <c r="F21" s="67"/>
      <c r="G21" s="67"/>
      <c r="H21" s="67"/>
      <c r="I21" s="67"/>
      <c r="J21" s="67"/>
    </row>
    <row r="22" customFormat="false" ht="36" hidden="false" customHeight="true" outlineLevel="0" collapsed="false">
      <c r="A22" s="66" t="s">
        <v>205</v>
      </c>
      <c r="B22" s="67" t="s">
        <v>206</v>
      </c>
      <c r="C22" s="67"/>
      <c r="D22" s="67"/>
      <c r="E22" s="67"/>
      <c r="F22" s="67"/>
      <c r="G22" s="67"/>
      <c r="H22" s="67"/>
      <c r="I22" s="67"/>
      <c r="J22" s="67"/>
    </row>
    <row r="23" customFormat="false" ht="36" hidden="false" customHeight="true" outlineLevel="0" collapsed="false">
      <c r="A23" s="66" t="s">
        <v>207</v>
      </c>
      <c r="B23" s="67" t="s">
        <v>208</v>
      </c>
      <c r="C23" s="67"/>
      <c r="D23" s="67"/>
      <c r="E23" s="67"/>
      <c r="F23" s="67"/>
      <c r="G23" s="67"/>
      <c r="H23" s="67"/>
      <c r="I23" s="67"/>
      <c r="J23" s="67"/>
    </row>
    <row r="25" customFormat="false" ht="18" hidden="false" customHeight="true" outlineLevel="0" collapsed="false">
      <c r="A25" s="70" t="s">
        <v>209</v>
      </c>
      <c r="B25" s="70"/>
      <c r="C25" s="70"/>
      <c r="D25" s="70"/>
      <c r="E25" s="70"/>
      <c r="F25" s="70"/>
      <c r="G25" s="70"/>
      <c r="H25" s="70"/>
      <c r="I25" s="70"/>
      <c r="J25" s="70"/>
    </row>
    <row r="26" customFormat="false" ht="36" hidden="false" customHeight="true" outlineLevel="0" collapsed="false">
      <c r="A26" s="66" t="s">
        <v>210</v>
      </c>
      <c r="B26" s="67" t="s">
        <v>211</v>
      </c>
      <c r="C26" s="67"/>
      <c r="D26" s="67"/>
      <c r="E26" s="67"/>
      <c r="F26" s="67"/>
      <c r="G26" s="67"/>
      <c r="H26" s="67"/>
      <c r="I26" s="67"/>
      <c r="J26" s="67"/>
    </row>
    <row r="27" customFormat="false" ht="36" hidden="false" customHeight="true" outlineLevel="0" collapsed="false">
      <c r="A27" s="66" t="s">
        <v>212</v>
      </c>
      <c r="B27" s="67" t="s">
        <v>213</v>
      </c>
      <c r="C27" s="67"/>
      <c r="D27" s="67"/>
      <c r="E27" s="67"/>
      <c r="F27" s="67"/>
      <c r="G27" s="67"/>
      <c r="H27" s="67"/>
      <c r="I27" s="67"/>
      <c r="J27" s="67"/>
    </row>
    <row r="28" customFormat="false" ht="36" hidden="false" customHeight="true" outlineLevel="0" collapsed="false">
      <c r="A28" s="66" t="s">
        <v>214</v>
      </c>
      <c r="B28" s="67" t="s">
        <v>215</v>
      </c>
      <c r="C28" s="67"/>
      <c r="D28" s="67"/>
      <c r="E28" s="67"/>
      <c r="F28" s="67"/>
      <c r="G28" s="67"/>
      <c r="H28" s="67"/>
      <c r="I28" s="67"/>
      <c r="J28" s="67"/>
    </row>
    <row r="29" customFormat="false" ht="36" hidden="false" customHeight="true" outlineLevel="0" collapsed="false">
      <c r="A29" s="66" t="s">
        <v>216</v>
      </c>
      <c r="B29" s="67" t="s">
        <v>217</v>
      </c>
      <c r="C29" s="67"/>
      <c r="D29" s="67"/>
      <c r="E29" s="67"/>
      <c r="F29" s="67"/>
      <c r="G29" s="67"/>
      <c r="H29" s="67"/>
      <c r="I29" s="67"/>
      <c r="J29" s="67"/>
    </row>
    <row r="30" customFormat="false" ht="36" hidden="false" customHeight="true" outlineLevel="0" collapsed="false">
      <c r="A30" s="66" t="s">
        <v>218</v>
      </c>
      <c r="B30" s="67" t="s">
        <v>219</v>
      </c>
      <c r="C30" s="67"/>
      <c r="D30" s="67"/>
      <c r="E30" s="67"/>
      <c r="F30" s="67"/>
      <c r="G30" s="67"/>
      <c r="H30" s="67"/>
      <c r="I30" s="67"/>
      <c r="J30" s="67"/>
    </row>
    <row r="31" customFormat="false" ht="36" hidden="false" customHeight="true" outlineLevel="0" collapsed="false">
      <c r="A31" s="66" t="s">
        <v>220</v>
      </c>
      <c r="B31" s="67" t="s">
        <v>221</v>
      </c>
      <c r="C31" s="67"/>
      <c r="D31" s="67"/>
      <c r="E31" s="67"/>
      <c r="F31" s="67"/>
      <c r="G31" s="67"/>
      <c r="H31" s="67"/>
      <c r="I31" s="67"/>
      <c r="J31" s="67"/>
    </row>
  </sheetData>
  <mergeCells count="27">
    <mergeCell ref="A1:J1"/>
    <mergeCell ref="A3:J3"/>
    <mergeCell ref="B4:J4"/>
    <mergeCell ref="B5:J5"/>
    <mergeCell ref="B6:J6"/>
    <mergeCell ref="B7:J7"/>
    <mergeCell ref="B8:J8"/>
    <mergeCell ref="B9:J9"/>
    <mergeCell ref="A11:J11"/>
    <mergeCell ref="B12:J12"/>
    <mergeCell ref="B13:J13"/>
    <mergeCell ref="B14:J14"/>
    <mergeCell ref="B15:J15"/>
    <mergeCell ref="B16:J16"/>
    <mergeCell ref="B17:J17"/>
    <mergeCell ref="A19:J19"/>
    <mergeCell ref="B20:J20"/>
    <mergeCell ref="B21:J21"/>
    <mergeCell ref="B22:J22"/>
    <mergeCell ref="B23:J23"/>
    <mergeCell ref="A25:J25"/>
    <mergeCell ref="B26:J26"/>
    <mergeCell ref="B27:J27"/>
    <mergeCell ref="B28:J28"/>
    <mergeCell ref="B29:J29"/>
    <mergeCell ref="B30:J30"/>
    <mergeCell ref="B31:J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22"/>
    <col collapsed="false" customWidth="true" hidden="false" outlineLevel="0" max="4" min="4" style="1" width="24"/>
    <col collapsed="false" customWidth="true" hidden="false" outlineLevel="0" max="5" min="5" style="1" width="20"/>
    <col collapsed="false" customWidth="true" hidden="false" outlineLevel="0" max="6" min="6" style="1" width="24"/>
    <col collapsed="false" customWidth="true" hidden="false" outlineLevel="0" max="9" min="7" style="1" width="20"/>
    <col collapsed="false" customWidth="true" hidden="false" outlineLevel="0" max="10" min="10" style="1" width="22"/>
  </cols>
  <sheetData>
    <row r="1" customFormat="false" ht="24" hidden="false" customHeight="true" outlineLevel="0" collapsed="false">
      <c r="A1" s="32" t="s">
        <v>222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customFormat="false" ht="15" hidden="false" customHeight="true" outlineLevel="0" collapsed="false">
      <c r="A2" s="33" t="s">
        <v>223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4" customFormat="false" ht="31.5" hidden="false" customHeight="true" outlineLevel="0" collapsed="false">
      <c r="A4" s="21" t="s">
        <v>146</v>
      </c>
      <c r="B4" s="21" t="s">
        <v>224</v>
      </c>
      <c r="C4" s="21" t="s">
        <v>225</v>
      </c>
      <c r="D4" s="21" t="s">
        <v>226</v>
      </c>
      <c r="E4" s="21" t="s">
        <v>227</v>
      </c>
      <c r="F4" s="21" t="s">
        <v>228</v>
      </c>
      <c r="G4" s="21" t="s">
        <v>229</v>
      </c>
      <c r="H4" s="21" t="s">
        <v>230</v>
      </c>
      <c r="I4" s="21" t="s">
        <v>231</v>
      </c>
      <c r="J4" s="21" t="s">
        <v>232</v>
      </c>
      <c r="K4" s="21"/>
      <c r="L4" s="21"/>
      <c r="M4" s="21"/>
      <c r="N4" s="21"/>
    </row>
    <row r="5" customFormat="false" ht="15" hidden="false" customHeight="true" outlineLevel="0" collapsed="false">
      <c r="A5" s="24" t="n">
        <v>1</v>
      </c>
      <c r="B5" s="24" t="s">
        <v>233</v>
      </c>
      <c r="C5" s="71" t="n">
        <v>35523.12</v>
      </c>
      <c r="D5" s="71" t="n">
        <f aca="false">SUM($C$5:C5)</f>
        <v>35523.12</v>
      </c>
      <c r="E5" s="72" t="n">
        <v>8126</v>
      </c>
      <c r="F5" s="72" t="n">
        <f aca="false">SUM($E$5:E5)</f>
        <v>8126</v>
      </c>
      <c r="G5" s="72" t="n">
        <f aca="false">C5-E5</f>
        <v>27397.12</v>
      </c>
      <c r="H5" s="72" t="n">
        <f aca="false">SUM($G$5:G5)</f>
        <v>27397.12</v>
      </c>
      <c r="I5" s="71" t="n">
        <v>12000</v>
      </c>
      <c r="J5" s="73" t="n">
        <f aca="false">H5-SUM($I$5:I5)</f>
        <v>15397.12</v>
      </c>
    </row>
    <row r="6" customFormat="false" ht="15" hidden="false" customHeight="true" outlineLevel="0" collapsed="false">
      <c r="A6" s="27" t="n">
        <v>2</v>
      </c>
      <c r="B6" s="27" t="s">
        <v>234</v>
      </c>
      <c r="C6" s="74" t="n">
        <v>35523.12</v>
      </c>
      <c r="D6" s="74" t="n">
        <f aca="false">SUM($C$5:C6)</f>
        <v>71046.24</v>
      </c>
      <c r="E6" s="75" t="n">
        <v>8126</v>
      </c>
      <c r="F6" s="75" t="n">
        <f aca="false">SUM($E$5:E6)</f>
        <v>16252</v>
      </c>
      <c r="G6" s="75" t="n">
        <f aca="false">C6-E6</f>
        <v>27397.12</v>
      </c>
      <c r="H6" s="75" t="n">
        <f aca="false">SUM($G$5:G6)</f>
        <v>54794.24</v>
      </c>
      <c r="I6" s="74" t="n">
        <v>0</v>
      </c>
      <c r="J6" s="76" t="n">
        <f aca="false">H6-SUM($I$5:I6)</f>
        <v>42794.24</v>
      </c>
    </row>
    <row r="7" customFormat="false" ht="15" hidden="false" customHeight="true" outlineLevel="0" collapsed="false">
      <c r="A7" s="24" t="n">
        <v>3</v>
      </c>
      <c r="B7" s="24" t="s">
        <v>235</v>
      </c>
      <c r="C7" s="71" t="n">
        <v>35523.12</v>
      </c>
      <c r="D7" s="71" t="n">
        <f aca="false">SUM($C$5:C7)</f>
        <v>106569.36</v>
      </c>
      <c r="E7" s="72" t="n">
        <v>8126</v>
      </c>
      <c r="F7" s="72" t="n">
        <f aca="false">SUM($E$5:E7)</f>
        <v>24378</v>
      </c>
      <c r="G7" s="72" t="n">
        <f aca="false">C7-E7</f>
        <v>27397.12</v>
      </c>
      <c r="H7" s="72" t="n">
        <f aca="false">SUM($G$5:G7)</f>
        <v>82191.36</v>
      </c>
      <c r="I7" s="71" t="n">
        <v>0</v>
      </c>
      <c r="J7" s="73" t="n">
        <f aca="false">H7-SUM($I$5:I7)</f>
        <v>70191.36</v>
      </c>
    </row>
    <row r="8" customFormat="false" ht="15" hidden="false" customHeight="true" outlineLevel="0" collapsed="false">
      <c r="A8" s="27" t="n">
        <v>4</v>
      </c>
      <c r="B8" s="27" t="s">
        <v>236</v>
      </c>
      <c r="C8" s="74" t="n">
        <v>35523.12</v>
      </c>
      <c r="D8" s="74" t="n">
        <f aca="false">SUM($C$5:C8)</f>
        <v>142092.48</v>
      </c>
      <c r="E8" s="75" t="n">
        <v>8126</v>
      </c>
      <c r="F8" s="75" t="n">
        <f aca="false">SUM($E$5:E8)</f>
        <v>32504</v>
      </c>
      <c r="G8" s="75" t="n">
        <f aca="false">C8-E8</f>
        <v>27397.12</v>
      </c>
      <c r="H8" s="75" t="n">
        <f aca="false">SUM($G$5:G8)</f>
        <v>109588.48</v>
      </c>
      <c r="I8" s="74" t="n">
        <v>0</v>
      </c>
      <c r="J8" s="76" t="n">
        <f aca="false">H8-SUM($I$5:I8)</f>
        <v>97588.48</v>
      </c>
    </row>
    <row r="9" customFormat="false" ht="15" hidden="false" customHeight="true" outlineLevel="0" collapsed="false">
      <c r="A9" s="24" t="n">
        <v>5</v>
      </c>
      <c r="B9" s="24" t="s">
        <v>237</v>
      </c>
      <c r="C9" s="71" t="n">
        <v>35523.12</v>
      </c>
      <c r="D9" s="71" t="n">
        <f aca="false">SUM($C$5:C9)</f>
        <v>177615.6</v>
      </c>
      <c r="E9" s="72" t="n">
        <v>8126</v>
      </c>
      <c r="F9" s="72" t="n">
        <f aca="false">SUM($E$5:E9)</f>
        <v>40630</v>
      </c>
      <c r="G9" s="72" t="n">
        <f aca="false">C9-E9</f>
        <v>27397.12</v>
      </c>
      <c r="H9" s="72" t="n">
        <f aca="false">SUM($G$5:G9)</f>
        <v>136985.6</v>
      </c>
      <c r="I9" s="71" t="n">
        <v>0</v>
      </c>
      <c r="J9" s="73" t="n">
        <f aca="false">H9-SUM($I$5:I9)</f>
        <v>124985.6</v>
      </c>
    </row>
    <row r="10" customFormat="false" ht="15" hidden="false" customHeight="true" outlineLevel="0" collapsed="false">
      <c r="A10" s="27" t="n">
        <v>6</v>
      </c>
      <c r="B10" s="27" t="s">
        <v>238</v>
      </c>
      <c r="C10" s="74" t="n">
        <v>35523.12</v>
      </c>
      <c r="D10" s="74" t="n">
        <f aca="false">SUM($C$5:C10)</f>
        <v>213138.72</v>
      </c>
      <c r="E10" s="75" t="n">
        <v>8126</v>
      </c>
      <c r="F10" s="75" t="n">
        <f aca="false">SUM($E$5:E10)</f>
        <v>48756</v>
      </c>
      <c r="G10" s="75" t="n">
        <f aca="false">C10-E10</f>
        <v>27397.12</v>
      </c>
      <c r="H10" s="75" t="n">
        <f aca="false">SUM($G$5:G10)</f>
        <v>164382.72</v>
      </c>
      <c r="I10" s="74" t="n">
        <v>0</v>
      </c>
      <c r="J10" s="76" t="n">
        <f aca="false">H10-SUM($I$5:I10)</f>
        <v>152382.72</v>
      </c>
    </row>
    <row r="11" customFormat="false" ht="15" hidden="false" customHeight="true" outlineLevel="0" collapsed="false">
      <c r="A11" s="24" t="n">
        <v>7</v>
      </c>
      <c r="B11" s="24" t="s">
        <v>239</v>
      </c>
      <c r="C11" s="71" t="n">
        <v>35523.12</v>
      </c>
      <c r="D11" s="71" t="n">
        <f aca="false">SUM($C$5:C11)</f>
        <v>248661.84</v>
      </c>
      <c r="E11" s="72" t="n">
        <v>8126</v>
      </c>
      <c r="F11" s="72" t="n">
        <f aca="false">SUM($E$5:E11)</f>
        <v>56882</v>
      </c>
      <c r="G11" s="72" t="n">
        <f aca="false">C11-E11</f>
        <v>27397.12</v>
      </c>
      <c r="H11" s="72" t="n">
        <f aca="false">SUM($G$5:G11)</f>
        <v>191779.84</v>
      </c>
      <c r="I11" s="71" t="n">
        <v>0</v>
      </c>
      <c r="J11" s="73" t="n">
        <f aca="false">H11-SUM($I$5:I11)</f>
        <v>179779.84</v>
      </c>
    </row>
    <row r="12" customFormat="false" ht="15" hidden="false" customHeight="true" outlineLevel="0" collapsed="false">
      <c r="A12" s="27" t="n">
        <v>8</v>
      </c>
      <c r="B12" s="27" t="s">
        <v>240</v>
      </c>
      <c r="C12" s="74" t="n">
        <v>35523.12</v>
      </c>
      <c r="D12" s="74" t="n">
        <f aca="false">SUM($C$5:C12)</f>
        <v>284184.96</v>
      </c>
      <c r="E12" s="75" t="n">
        <v>8126</v>
      </c>
      <c r="F12" s="75" t="n">
        <f aca="false">SUM($E$5:E12)</f>
        <v>65008</v>
      </c>
      <c r="G12" s="75" t="n">
        <f aca="false">C12-E12</f>
        <v>27397.12</v>
      </c>
      <c r="H12" s="75" t="n">
        <f aca="false">SUM($G$5:G12)</f>
        <v>219176.96</v>
      </c>
      <c r="I12" s="74" t="n">
        <v>0</v>
      </c>
      <c r="J12" s="76" t="n">
        <f aca="false">H12-SUM($I$5:I12)</f>
        <v>207176.96</v>
      </c>
    </row>
    <row r="13" customFormat="false" ht="15" hidden="false" customHeight="true" outlineLevel="0" collapsed="false">
      <c r="A13" s="24" t="n">
        <v>9</v>
      </c>
      <c r="B13" s="24" t="s">
        <v>241</v>
      </c>
      <c r="C13" s="71" t="n">
        <v>35523.12</v>
      </c>
      <c r="D13" s="71" t="n">
        <f aca="false">SUM($C$5:C13)</f>
        <v>319708.08</v>
      </c>
      <c r="E13" s="72" t="n">
        <v>8126</v>
      </c>
      <c r="F13" s="72" t="n">
        <f aca="false">SUM($E$5:E13)</f>
        <v>73134</v>
      </c>
      <c r="G13" s="72" t="n">
        <f aca="false">C13-E13</f>
        <v>27397.12</v>
      </c>
      <c r="H13" s="72" t="n">
        <f aca="false">SUM($G$5:G13)</f>
        <v>246574.08</v>
      </c>
      <c r="I13" s="71" t="n">
        <v>0</v>
      </c>
      <c r="J13" s="73" t="n">
        <f aca="false">H13-SUM($I$5:I13)</f>
        <v>234574.08</v>
      </c>
    </row>
    <row r="14" customFormat="false" ht="15" hidden="false" customHeight="true" outlineLevel="0" collapsed="false">
      <c r="A14" s="27" t="n">
        <v>10</v>
      </c>
      <c r="B14" s="27" t="s">
        <v>242</v>
      </c>
      <c r="C14" s="74" t="n">
        <v>35523.12</v>
      </c>
      <c r="D14" s="74" t="n">
        <f aca="false">SUM($C$5:C14)</f>
        <v>355231.2</v>
      </c>
      <c r="E14" s="75" t="n">
        <v>8126</v>
      </c>
      <c r="F14" s="75" t="n">
        <f aca="false">SUM($E$5:E14)</f>
        <v>81260</v>
      </c>
      <c r="G14" s="75" t="n">
        <f aca="false">C14-E14</f>
        <v>27397.12</v>
      </c>
      <c r="H14" s="75" t="n">
        <f aca="false">SUM($G$5:G14)</f>
        <v>273971.2</v>
      </c>
      <c r="I14" s="74" t="n">
        <v>0</v>
      </c>
      <c r="J14" s="76" t="n">
        <f aca="false">H14-SUM($I$5:I14)</f>
        <v>261971.2</v>
      </c>
    </row>
    <row r="15" customFormat="false" ht="15" hidden="false" customHeight="true" outlineLevel="0" collapsed="false">
      <c r="A15" s="24" t="n">
        <v>11</v>
      </c>
      <c r="B15" s="24" t="s">
        <v>243</v>
      </c>
      <c r="C15" s="71" t="n">
        <v>35523.12</v>
      </c>
      <c r="D15" s="71" t="n">
        <f aca="false">SUM($C$5:C15)</f>
        <v>390754.32</v>
      </c>
      <c r="E15" s="72" t="n">
        <v>8126</v>
      </c>
      <c r="F15" s="72" t="n">
        <f aca="false">SUM($E$5:E15)</f>
        <v>89386</v>
      </c>
      <c r="G15" s="72" t="n">
        <f aca="false">C15-E15</f>
        <v>27397.12</v>
      </c>
      <c r="H15" s="72" t="n">
        <f aca="false">SUM($G$5:G15)</f>
        <v>301368.32</v>
      </c>
      <c r="I15" s="71" t="n">
        <v>0</v>
      </c>
      <c r="J15" s="73" t="n">
        <f aca="false">H15-SUM($I$5:I15)</f>
        <v>289368.32</v>
      </c>
    </row>
    <row r="16" customFormat="false" ht="15" hidden="false" customHeight="true" outlineLevel="0" collapsed="false">
      <c r="A16" s="77" t="n">
        <v>12</v>
      </c>
      <c r="B16" s="77" t="s">
        <v>244</v>
      </c>
      <c r="C16" s="78" t="n">
        <v>35523.12</v>
      </c>
      <c r="D16" s="78" t="n">
        <f aca="false">SUM($C$5:C16)</f>
        <v>426277.44</v>
      </c>
      <c r="E16" s="79" t="n">
        <v>8126</v>
      </c>
      <c r="F16" s="79" t="n">
        <f aca="false">SUM($E$5:E16)</f>
        <v>97512</v>
      </c>
      <c r="G16" s="79" t="n">
        <f aca="false">C16-E16</f>
        <v>27397.12</v>
      </c>
      <c r="H16" s="79" t="n">
        <f aca="false">SUM($G$5:G16)</f>
        <v>328765.44</v>
      </c>
      <c r="I16" s="78" t="n">
        <v>0</v>
      </c>
      <c r="J16" s="80" t="n">
        <f aca="false">H16-SUM($I$5:I16)</f>
        <v>316765.44</v>
      </c>
    </row>
    <row r="17" customFormat="false" ht="15" hidden="false" customHeight="true" outlineLevel="0" collapsed="false">
      <c r="A17" s="24" t="n">
        <v>13</v>
      </c>
      <c r="B17" s="24" t="s">
        <v>245</v>
      </c>
      <c r="C17" s="71" t="n">
        <v>37299.276</v>
      </c>
      <c r="D17" s="71" t="n">
        <f aca="false">SUM($C$5:C17)</f>
        <v>463576.716</v>
      </c>
      <c r="E17" s="72" t="n">
        <v>8532.3</v>
      </c>
      <c r="F17" s="72" t="n">
        <f aca="false">SUM($E$5:E17)</f>
        <v>106044.3</v>
      </c>
      <c r="G17" s="72" t="n">
        <f aca="false">C17-E17</f>
        <v>28766.976</v>
      </c>
      <c r="H17" s="72" t="n">
        <f aca="false">SUM($G$5:G17)</f>
        <v>357532.416</v>
      </c>
      <c r="I17" s="71" t="n">
        <v>0</v>
      </c>
      <c r="J17" s="73" t="n">
        <f aca="false">H17-SUM($I$5:I17)</f>
        <v>345532.416</v>
      </c>
    </row>
    <row r="18" customFormat="false" ht="15" hidden="false" customHeight="true" outlineLevel="0" collapsed="false">
      <c r="A18" s="27" t="n">
        <v>14</v>
      </c>
      <c r="B18" s="27" t="s">
        <v>246</v>
      </c>
      <c r="C18" s="74" t="n">
        <v>37299.276</v>
      </c>
      <c r="D18" s="74" t="n">
        <f aca="false">SUM($C$5:C18)</f>
        <v>500875.992</v>
      </c>
      <c r="E18" s="75" t="n">
        <v>8532.3</v>
      </c>
      <c r="F18" s="75" t="n">
        <f aca="false">SUM($E$5:E18)</f>
        <v>114576.6</v>
      </c>
      <c r="G18" s="75" t="n">
        <f aca="false">C18-E18</f>
        <v>28766.976</v>
      </c>
      <c r="H18" s="75" t="n">
        <f aca="false">SUM($G$5:G18)</f>
        <v>386299.392</v>
      </c>
      <c r="I18" s="74" t="n">
        <v>0</v>
      </c>
      <c r="J18" s="76" t="n">
        <f aca="false">H18-SUM($I$5:I18)</f>
        <v>374299.392</v>
      </c>
    </row>
    <row r="19" customFormat="false" ht="15" hidden="false" customHeight="true" outlineLevel="0" collapsed="false">
      <c r="A19" s="24" t="n">
        <v>15</v>
      </c>
      <c r="B19" s="24" t="s">
        <v>247</v>
      </c>
      <c r="C19" s="71" t="n">
        <v>37299.276</v>
      </c>
      <c r="D19" s="71" t="n">
        <f aca="false">SUM($C$5:C19)</f>
        <v>538175.268</v>
      </c>
      <c r="E19" s="72" t="n">
        <v>8532.3</v>
      </c>
      <c r="F19" s="72" t="n">
        <f aca="false">SUM($E$5:E19)</f>
        <v>123108.9</v>
      </c>
      <c r="G19" s="72" t="n">
        <f aca="false">C19-E19</f>
        <v>28766.976</v>
      </c>
      <c r="H19" s="72" t="n">
        <f aca="false">SUM($G$5:G19)</f>
        <v>415066.368</v>
      </c>
      <c r="I19" s="71" t="n">
        <v>0</v>
      </c>
      <c r="J19" s="73" t="n">
        <f aca="false">H19-SUM($I$5:I19)</f>
        <v>403066.368</v>
      </c>
    </row>
    <row r="20" customFormat="false" ht="15" hidden="false" customHeight="true" outlineLevel="0" collapsed="false">
      <c r="A20" s="27" t="n">
        <v>16</v>
      </c>
      <c r="B20" s="27" t="s">
        <v>248</v>
      </c>
      <c r="C20" s="74" t="n">
        <v>37299.276</v>
      </c>
      <c r="D20" s="74" t="n">
        <f aca="false">SUM($C$5:C20)</f>
        <v>575474.544</v>
      </c>
      <c r="E20" s="75" t="n">
        <v>8532.3</v>
      </c>
      <c r="F20" s="75" t="n">
        <f aca="false">SUM($E$5:E20)</f>
        <v>131641.2</v>
      </c>
      <c r="G20" s="75" t="n">
        <f aca="false">C20-E20</f>
        <v>28766.976</v>
      </c>
      <c r="H20" s="75" t="n">
        <f aca="false">SUM($G$5:G20)</f>
        <v>443833.344</v>
      </c>
      <c r="I20" s="74" t="n">
        <v>0</v>
      </c>
      <c r="J20" s="76" t="n">
        <f aca="false">H20-SUM($I$5:I20)</f>
        <v>431833.344</v>
      </c>
    </row>
    <row r="21" customFormat="false" ht="15" hidden="false" customHeight="true" outlineLevel="0" collapsed="false">
      <c r="A21" s="24" t="n">
        <v>17</v>
      </c>
      <c r="B21" s="24" t="s">
        <v>249</v>
      </c>
      <c r="C21" s="71" t="n">
        <v>37299.276</v>
      </c>
      <c r="D21" s="71" t="n">
        <f aca="false">SUM($C$5:C21)</f>
        <v>612773.82</v>
      </c>
      <c r="E21" s="72" t="n">
        <v>8532.3</v>
      </c>
      <c r="F21" s="72" t="n">
        <f aca="false">SUM($E$5:E21)</f>
        <v>140173.5</v>
      </c>
      <c r="G21" s="72" t="n">
        <f aca="false">C21-E21</f>
        <v>28766.976</v>
      </c>
      <c r="H21" s="72" t="n">
        <f aca="false">SUM($G$5:G21)</f>
        <v>472600.32</v>
      </c>
      <c r="I21" s="71" t="n">
        <v>0</v>
      </c>
      <c r="J21" s="73" t="n">
        <f aca="false">H21-SUM($I$5:I21)</f>
        <v>460600.32</v>
      </c>
    </row>
    <row r="22" customFormat="false" ht="15" hidden="false" customHeight="true" outlineLevel="0" collapsed="false">
      <c r="A22" s="27" t="n">
        <v>18</v>
      </c>
      <c r="B22" s="27" t="s">
        <v>250</v>
      </c>
      <c r="C22" s="74" t="n">
        <v>37299.276</v>
      </c>
      <c r="D22" s="74" t="n">
        <f aca="false">SUM($C$5:C22)</f>
        <v>650073.096</v>
      </c>
      <c r="E22" s="75" t="n">
        <v>8532.3</v>
      </c>
      <c r="F22" s="75" t="n">
        <f aca="false">SUM($E$5:E22)</f>
        <v>148705.8</v>
      </c>
      <c r="G22" s="75" t="n">
        <f aca="false">C22-E22</f>
        <v>28766.976</v>
      </c>
      <c r="H22" s="75" t="n">
        <f aca="false">SUM($G$5:G22)</f>
        <v>501367.296</v>
      </c>
      <c r="I22" s="74" t="n">
        <v>0</v>
      </c>
      <c r="J22" s="76" t="n">
        <f aca="false">H22-SUM($I$5:I22)</f>
        <v>489367.296</v>
      </c>
    </row>
    <row r="23" customFormat="false" ht="15" hidden="false" customHeight="true" outlineLevel="0" collapsed="false">
      <c r="A23" s="24" t="n">
        <v>19</v>
      </c>
      <c r="B23" s="24" t="s">
        <v>251</v>
      </c>
      <c r="C23" s="71" t="n">
        <v>37299.276</v>
      </c>
      <c r="D23" s="71" t="n">
        <f aca="false">SUM($C$5:C23)</f>
        <v>687372.372</v>
      </c>
      <c r="E23" s="72" t="n">
        <v>8532.3</v>
      </c>
      <c r="F23" s="72" t="n">
        <f aca="false">SUM($E$5:E23)</f>
        <v>157238.1</v>
      </c>
      <c r="G23" s="72" t="n">
        <f aca="false">C23-E23</f>
        <v>28766.976</v>
      </c>
      <c r="H23" s="72" t="n">
        <f aca="false">SUM($G$5:G23)</f>
        <v>530134.272</v>
      </c>
      <c r="I23" s="71" t="n">
        <v>0</v>
      </c>
      <c r="J23" s="73" t="n">
        <f aca="false">H23-SUM($I$5:I23)</f>
        <v>518134.272</v>
      </c>
    </row>
    <row r="24" customFormat="false" ht="15" hidden="false" customHeight="true" outlineLevel="0" collapsed="false">
      <c r="A24" s="27" t="n">
        <v>20</v>
      </c>
      <c r="B24" s="27" t="s">
        <v>252</v>
      </c>
      <c r="C24" s="74" t="n">
        <v>37299.276</v>
      </c>
      <c r="D24" s="74" t="n">
        <f aca="false">SUM($C$5:C24)</f>
        <v>724671.648</v>
      </c>
      <c r="E24" s="75" t="n">
        <v>8532.3</v>
      </c>
      <c r="F24" s="75" t="n">
        <f aca="false">SUM($E$5:E24)</f>
        <v>165770.4</v>
      </c>
      <c r="G24" s="75" t="n">
        <f aca="false">C24-E24</f>
        <v>28766.976</v>
      </c>
      <c r="H24" s="75" t="n">
        <f aca="false">SUM($G$5:G24)</f>
        <v>558901.248</v>
      </c>
      <c r="I24" s="74" t="n">
        <v>0</v>
      </c>
      <c r="J24" s="76" t="n">
        <f aca="false">H24-SUM($I$5:I24)</f>
        <v>546901.248</v>
      </c>
    </row>
    <row r="25" customFormat="false" ht="15" hidden="false" customHeight="true" outlineLevel="0" collapsed="false">
      <c r="A25" s="24" t="n">
        <v>21</v>
      </c>
      <c r="B25" s="24" t="s">
        <v>253</v>
      </c>
      <c r="C25" s="71" t="n">
        <v>37299.276</v>
      </c>
      <c r="D25" s="71" t="n">
        <f aca="false">SUM($C$5:C25)</f>
        <v>761970.924</v>
      </c>
      <c r="E25" s="72" t="n">
        <v>8532.3</v>
      </c>
      <c r="F25" s="72" t="n">
        <f aca="false">SUM($E$5:E25)</f>
        <v>174302.7</v>
      </c>
      <c r="G25" s="72" t="n">
        <f aca="false">C25-E25</f>
        <v>28766.976</v>
      </c>
      <c r="H25" s="72" t="n">
        <f aca="false">SUM($G$5:G25)</f>
        <v>587668.224</v>
      </c>
      <c r="I25" s="71" t="n">
        <v>0</v>
      </c>
      <c r="J25" s="73" t="n">
        <f aca="false">H25-SUM($I$5:I25)</f>
        <v>575668.224</v>
      </c>
    </row>
    <row r="26" customFormat="false" ht="15" hidden="false" customHeight="true" outlineLevel="0" collapsed="false">
      <c r="A26" s="27" t="n">
        <v>22</v>
      </c>
      <c r="B26" s="27" t="s">
        <v>254</v>
      </c>
      <c r="C26" s="74" t="n">
        <v>37299.276</v>
      </c>
      <c r="D26" s="74" t="n">
        <f aca="false">SUM($C$5:C26)</f>
        <v>799270.2</v>
      </c>
      <c r="E26" s="75" t="n">
        <v>8532.3</v>
      </c>
      <c r="F26" s="75" t="n">
        <f aca="false">SUM($E$5:E26)</f>
        <v>182835</v>
      </c>
      <c r="G26" s="75" t="n">
        <f aca="false">C26-E26</f>
        <v>28766.976</v>
      </c>
      <c r="H26" s="75" t="n">
        <f aca="false">SUM($G$5:G26)</f>
        <v>616435.2</v>
      </c>
      <c r="I26" s="74" t="n">
        <v>0</v>
      </c>
      <c r="J26" s="76" t="n">
        <f aca="false">H26-SUM($I$5:I26)</f>
        <v>604435.2</v>
      </c>
    </row>
    <row r="27" customFormat="false" ht="15" hidden="false" customHeight="true" outlineLevel="0" collapsed="false">
      <c r="A27" s="24" t="n">
        <v>23</v>
      </c>
      <c r="B27" s="24" t="s">
        <v>255</v>
      </c>
      <c r="C27" s="71" t="n">
        <v>37299.276</v>
      </c>
      <c r="D27" s="71" t="n">
        <f aca="false">SUM($C$5:C27)</f>
        <v>836569.476</v>
      </c>
      <c r="E27" s="72" t="n">
        <v>8532.3</v>
      </c>
      <c r="F27" s="72" t="n">
        <f aca="false">SUM($E$5:E27)</f>
        <v>191367.3</v>
      </c>
      <c r="G27" s="72" t="n">
        <f aca="false">C27-E27</f>
        <v>28766.976</v>
      </c>
      <c r="H27" s="72" t="n">
        <f aca="false">SUM($G$5:G27)</f>
        <v>645202.176</v>
      </c>
      <c r="I27" s="71" t="n">
        <v>0</v>
      </c>
      <c r="J27" s="73" t="n">
        <f aca="false">H27-SUM($I$5:I27)</f>
        <v>633202.176</v>
      </c>
    </row>
    <row r="28" customFormat="false" ht="15" hidden="false" customHeight="true" outlineLevel="0" collapsed="false">
      <c r="A28" s="77" t="n">
        <v>24</v>
      </c>
      <c r="B28" s="77" t="s">
        <v>256</v>
      </c>
      <c r="C28" s="78" t="n">
        <v>37299.276</v>
      </c>
      <c r="D28" s="78" t="n">
        <f aca="false">SUM($C$5:C28)</f>
        <v>873868.752</v>
      </c>
      <c r="E28" s="79" t="n">
        <v>8532.3</v>
      </c>
      <c r="F28" s="79" t="n">
        <f aca="false">SUM($E$5:E28)</f>
        <v>199899.6</v>
      </c>
      <c r="G28" s="79" t="n">
        <f aca="false">C28-E28</f>
        <v>28766.976</v>
      </c>
      <c r="H28" s="79" t="n">
        <f aca="false">SUM($G$5:G28)</f>
        <v>673969.152</v>
      </c>
      <c r="I28" s="78" t="n">
        <v>0</v>
      </c>
      <c r="J28" s="80" t="n">
        <f aca="false">H28-SUM($I$5:I28)</f>
        <v>661969.152</v>
      </c>
    </row>
    <row r="29" customFormat="false" ht="15" hidden="false" customHeight="true" outlineLevel="0" collapsed="false">
      <c r="A29" s="24" t="n">
        <v>25</v>
      </c>
      <c r="B29" s="24" t="s">
        <v>257</v>
      </c>
      <c r="C29" s="71" t="n">
        <v>39164.2398</v>
      </c>
      <c r="D29" s="71" t="n">
        <f aca="false">SUM($C$5:C29)</f>
        <v>913032.9918</v>
      </c>
      <c r="E29" s="72" t="n">
        <v>8958.915</v>
      </c>
      <c r="F29" s="72" t="n">
        <f aca="false">SUM($E$5:E29)</f>
        <v>208858.515</v>
      </c>
      <c r="G29" s="72" t="n">
        <f aca="false">C29-E29</f>
        <v>30205.3248</v>
      </c>
      <c r="H29" s="72" t="n">
        <f aca="false">SUM($G$5:G29)</f>
        <v>704174.4768</v>
      </c>
      <c r="I29" s="71" t="n">
        <v>0</v>
      </c>
      <c r="J29" s="73" t="n">
        <f aca="false">H29-SUM($I$5:I29)</f>
        <v>692174.4768</v>
      </c>
    </row>
    <row r="30" customFormat="false" ht="15" hidden="false" customHeight="true" outlineLevel="0" collapsed="false">
      <c r="A30" s="27" t="n">
        <v>26</v>
      </c>
      <c r="B30" s="27" t="s">
        <v>258</v>
      </c>
      <c r="C30" s="74" t="n">
        <v>39164.2398</v>
      </c>
      <c r="D30" s="74" t="n">
        <f aca="false">SUM($C$5:C30)</f>
        <v>952197.2316</v>
      </c>
      <c r="E30" s="75" t="n">
        <v>8958.915</v>
      </c>
      <c r="F30" s="75" t="n">
        <f aca="false">SUM($E$5:E30)</f>
        <v>217817.43</v>
      </c>
      <c r="G30" s="75" t="n">
        <f aca="false">C30-E30</f>
        <v>30205.3248</v>
      </c>
      <c r="H30" s="75" t="n">
        <f aca="false">SUM($G$5:G30)</f>
        <v>734379.8016</v>
      </c>
      <c r="I30" s="74" t="n">
        <v>0</v>
      </c>
      <c r="J30" s="76" t="n">
        <f aca="false">H30-SUM($I$5:I30)</f>
        <v>722379.8016</v>
      </c>
    </row>
    <row r="31" customFormat="false" ht="15" hidden="false" customHeight="true" outlineLevel="0" collapsed="false">
      <c r="A31" s="24" t="n">
        <v>27</v>
      </c>
      <c r="B31" s="24" t="s">
        <v>259</v>
      </c>
      <c r="C31" s="71" t="n">
        <v>39164.2398</v>
      </c>
      <c r="D31" s="71" t="n">
        <f aca="false">SUM($C$5:C31)</f>
        <v>991361.4714</v>
      </c>
      <c r="E31" s="72" t="n">
        <v>8958.915</v>
      </c>
      <c r="F31" s="72" t="n">
        <f aca="false">SUM($E$5:E31)</f>
        <v>226776.345</v>
      </c>
      <c r="G31" s="72" t="n">
        <f aca="false">C31-E31</f>
        <v>30205.3248</v>
      </c>
      <c r="H31" s="72" t="n">
        <f aca="false">SUM($G$5:G31)</f>
        <v>764585.1264</v>
      </c>
      <c r="I31" s="71" t="n">
        <v>0</v>
      </c>
      <c r="J31" s="73" t="n">
        <f aca="false">H31-SUM($I$5:I31)</f>
        <v>752585.1264</v>
      </c>
    </row>
    <row r="32" customFormat="false" ht="15" hidden="false" customHeight="true" outlineLevel="0" collapsed="false">
      <c r="A32" s="27" t="n">
        <v>28</v>
      </c>
      <c r="B32" s="27" t="s">
        <v>260</v>
      </c>
      <c r="C32" s="74" t="n">
        <v>39164.2398</v>
      </c>
      <c r="D32" s="74" t="n">
        <f aca="false">SUM($C$5:C32)</f>
        <v>1030525.7112</v>
      </c>
      <c r="E32" s="75" t="n">
        <v>8958.915</v>
      </c>
      <c r="F32" s="75" t="n">
        <f aca="false">SUM($E$5:E32)</f>
        <v>235735.26</v>
      </c>
      <c r="G32" s="75" t="n">
        <f aca="false">C32-E32</f>
        <v>30205.3248</v>
      </c>
      <c r="H32" s="75" t="n">
        <f aca="false">SUM($G$5:G32)</f>
        <v>794790.4512</v>
      </c>
      <c r="I32" s="74" t="n">
        <v>0</v>
      </c>
      <c r="J32" s="76" t="n">
        <f aca="false">H32-SUM($I$5:I32)</f>
        <v>782790.4512</v>
      </c>
    </row>
    <row r="33" customFormat="false" ht="15" hidden="false" customHeight="true" outlineLevel="0" collapsed="false">
      <c r="A33" s="24" t="n">
        <v>29</v>
      </c>
      <c r="B33" s="24" t="s">
        <v>261</v>
      </c>
      <c r="C33" s="71" t="n">
        <v>39164.2398</v>
      </c>
      <c r="D33" s="71" t="n">
        <f aca="false">SUM($C$5:C33)</f>
        <v>1069689.951</v>
      </c>
      <c r="E33" s="72" t="n">
        <v>8958.915</v>
      </c>
      <c r="F33" s="72" t="n">
        <f aca="false">SUM($E$5:E33)</f>
        <v>244694.175</v>
      </c>
      <c r="G33" s="72" t="n">
        <f aca="false">C33-E33</f>
        <v>30205.3248</v>
      </c>
      <c r="H33" s="72" t="n">
        <f aca="false">SUM($G$5:G33)</f>
        <v>824995.776</v>
      </c>
      <c r="I33" s="71" t="n">
        <v>0</v>
      </c>
      <c r="J33" s="73" t="n">
        <f aca="false">H33-SUM($I$5:I33)</f>
        <v>812995.776</v>
      </c>
    </row>
    <row r="34" customFormat="false" ht="15" hidden="false" customHeight="true" outlineLevel="0" collapsed="false">
      <c r="A34" s="27" t="n">
        <v>30</v>
      </c>
      <c r="B34" s="27" t="s">
        <v>262</v>
      </c>
      <c r="C34" s="74" t="n">
        <v>39164.2398</v>
      </c>
      <c r="D34" s="74" t="n">
        <f aca="false">SUM($C$5:C34)</f>
        <v>1108854.1908</v>
      </c>
      <c r="E34" s="75" t="n">
        <v>8958.915</v>
      </c>
      <c r="F34" s="75" t="n">
        <f aca="false">SUM($E$5:E34)</f>
        <v>253653.09</v>
      </c>
      <c r="G34" s="75" t="n">
        <f aca="false">C34-E34</f>
        <v>30205.3248</v>
      </c>
      <c r="H34" s="75" t="n">
        <f aca="false">SUM($G$5:G34)</f>
        <v>855201.1008</v>
      </c>
      <c r="I34" s="74" t="n">
        <v>0</v>
      </c>
      <c r="J34" s="76" t="n">
        <f aca="false">H34-SUM($I$5:I34)</f>
        <v>843201.1008</v>
      </c>
    </row>
    <row r="35" customFormat="false" ht="15" hidden="false" customHeight="true" outlineLevel="0" collapsed="false">
      <c r="A35" s="24" t="n">
        <v>31</v>
      </c>
      <c r="B35" s="24" t="s">
        <v>263</v>
      </c>
      <c r="C35" s="71" t="n">
        <v>39164.2398</v>
      </c>
      <c r="D35" s="71" t="n">
        <f aca="false">SUM($C$5:C35)</f>
        <v>1148018.4306</v>
      </c>
      <c r="E35" s="72" t="n">
        <v>8958.915</v>
      </c>
      <c r="F35" s="72" t="n">
        <f aca="false">SUM($E$5:E35)</f>
        <v>262612.005</v>
      </c>
      <c r="G35" s="72" t="n">
        <f aca="false">C35-E35</f>
        <v>30205.3248</v>
      </c>
      <c r="H35" s="72" t="n">
        <f aca="false">SUM($G$5:G35)</f>
        <v>885406.4256</v>
      </c>
      <c r="I35" s="71" t="n">
        <v>0</v>
      </c>
      <c r="J35" s="73" t="n">
        <f aca="false">H35-SUM($I$5:I35)</f>
        <v>873406.4256</v>
      </c>
    </row>
    <row r="36" customFormat="false" ht="15" hidden="false" customHeight="true" outlineLevel="0" collapsed="false">
      <c r="A36" s="27" t="n">
        <v>32</v>
      </c>
      <c r="B36" s="27" t="s">
        <v>264</v>
      </c>
      <c r="C36" s="74" t="n">
        <v>39164.2398</v>
      </c>
      <c r="D36" s="74" t="n">
        <f aca="false">SUM($C$5:C36)</f>
        <v>1187182.6704</v>
      </c>
      <c r="E36" s="75" t="n">
        <v>8958.915</v>
      </c>
      <c r="F36" s="75" t="n">
        <f aca="false">SUM($E$5:E36)</f>
        <v>271570.92</v>
      </c>
      <c r="G36" s="75" t="n">
        <f aca="false">C36-E36</f>
        <v>30205.3248</v>
      </c>
      <c r="H36" s="75" t="n">
        <f aca="false">SUM($G$5:G36)</f>
        <v>915611.7504</v>
      </c>
      <c r="I36" s="74" t="n">
        <v>0</v>
      </c>
      <c r="J36" s="76" t="n">
        <f aca="false">H36-SUM($I$5:I36)</f>
        <v>903611.7504</v>
      </c>
    </row>
    <row r="37" customFormat="false" ht="15" hidden="false" customHeight="true" outlineLevel="0" collapsed="false">
      <c r="A37" s="24" t="n">
        <v>33</v>
      </c>
      <c r="B37" s="24" t="s">
        <v>265</v>
      </c>
      <c r="C37" s="71" t="n">
        <v>39164.2398</v>
      </c>
      <c r="D37" s="71" t="n">
        <f aca="false">SUM($C$5:C37)</f>
        <v>1226346.9102</v>
      </c>
      <c r="E37" s="72" t="n">
        <v>8958.915</v>
      </c>
      <c r="F37" s="72" t="n">
        <f aca="false">SUM($E$5:E37)</f>
        <v>280529.835</v>
      </c>
      <c r="G37" s="72" t="n">
        <f aca="false">C37-E37</f>
        <v>30205.3248</v>
      </c>
      <c r="H37" s="72" t="n">
        <f aca="false">SUM($G$5:G37)</f>
        <v>945817.0752</v>
      </c>
      <c r="I37" s="71" t="n">
        <v>0</v>
      </c>
      <c r="J37" s="73" t="n">
        <f aca="false">H37-SUM($I$5:I37)</f>
        <v>933817.0752</v>
      </c>
    </row>
    <row r="38" customFormat="false" ht="15" hidden="false" customHeight="true" outlineLevel="0" collapsed="false">
      <c r="A38" s="27" t="n">
        <v>34</v>
      </c>
      <c r="B38" s="27" t="s">
        <v>266</v>
      </c>
      <c r="C38" s="74" t="n">
        <v>39164.2398</v>
      </c>
      <c r="D38" s="74" t="n">
        <f aca="false">SUM($C$5:C38)</f>
        <v>1265511.15</v>
      </c>
      <c r="E38" s="75" t="n">
        <v>8958.915</v>
      </c>
      <c r="F38" s="75" t="n">
        <f aca="false">SUM($E$5:E38)</f>
        <v>289488.75</v>
      </c>
      <c r="G38" s="75" t="n">
        <f aca="false">C38-E38</f>
        <v>30205.3248</v>
      </c>
      <c r="H38" s="75" t="n">
        <f aca="false">SUM($G$5:G38)</f>
        <v>976022.4</v>
      </c>
      <c r="I38" s="74" t="n">
        <v>0</v>
      </c>
      <c r="J38" s="76" t="n">
        <f aca="false">H38-SUM($I$5:I38)</f>
        <v>964022.4</v>
      </c>
    </row>
    <row r="39" customFormat="false" ht="15" hidden="false" customHeight="true" outlineLevel="0" collapsed="false">
      <c r="A39" s="24" t="n">
        <v>35</v>
      </c>
      <c r="B39" s="24" t="s">
        <v>267</v>
      </c>
      <c r="C39" s="71" t="n">
        <v>39164.2398</v>
      </c>
      <c r="D39" s="71" t="n">
        <f aca="false">SUM($C$5:C39)</f>
        <v>1304675.3898</v>
      </c>
      <c r="E39" s="72" t="n">
        <v>8958.915</v>
      </c>
      <c r="F39" s="72" t="n">
        <f aca="false">SUM($E$5:E39)</f>
        <v>298447.665</v>
      </c>
      <c r="G39" s="72" t="n">
        <f aca="false">C39-E39</f>
        <v>30205.3248</v>
      </c>
      <c r="H39" s="72" t="n">
        <f aca="false">SUM($G$5:G39)</f>
        <v>1006227.7248</v>
      </c>
      <c r="I39" s="71" t="n">
        <v>0</v>
      </c>
      <c r="J39" s="73" t="n">
        <f aca="false">H39-SUM($I$5:I39)</f>
        <v>994227.7248</v>
      </c>
    </row>
    <row r="40" customFormat="false" ht="15" hidden="false" customHeight="true" outlineLevel="0" collapsed="false">
      <c r="A40" s="77" t="n">
        <v>36</v>
      </c>
      <c r="B40" s="77" t="s">
        <v>268</v>
      </c>
      <c r="C40" s="78" t="n">
        <v>39164.2398</v>
      </c>
      <c r="D40" s="78" t="n">
        <f aca="false">SUM($C$5:C40)</f>
        <v>1343839.6296</v>
      </c>
      <c r="E40" s="79" t="n">
        <v>8958.915</v>
      </c>
      <c r="F40" s="79" t="n">
        <f aca="false">SUM($E$5:E40)</f>
        <v>307406.58</v>
      </c>
      <c r="G40" s="79" t="n">
        <f aca="false">C40-E40</f>
        <v>30205.3248</v>
      </c>
      <c r="H40" s="79" t="n">
        <f aca="false">SUM($G$5:G40)</f>
        <v>1036433.0496</v>
      </c>
      <c r="I40" s="78" t="n">
        <v>0</v>
      </c>
      <c r="J40" s="80" t="n">
        <f aca="false">H40-SUM($I$5:I40)</f>
        <v>1024433.0496</v>
      </c>
    </row>
    <row r="42" customFormat="false" ht="15" hidden="false" customHeight="true" outlineLevel="0" collapsed="false">
      <c r="A42" s="34" t="s">
        <v>90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</row>
    <row r="43" customFormat="false" ht="23.25" hidden="false" customHeight="true" outlineLevel="0" collapsed="false">
      <c r="A43" s="21" t="s">
        <v>269</v>
      </c>
      <c r="B43" s="21" t="s">
        <v>270</v>
      </c>
      <c r="C43" s="21" t="s">
        <v>271</v>
      </c>
      <c r="D43" s="21" t="s">
        <v>272</v>
      </c>
      <c r="E43" s="21" t="s">
        <v>273</v>
      </c>
      <c r="F43" s="21" t="s">
        <v>274</v>
      </c>
      <c r="G43" s="21" t="s">
        <v>275</v>
      </c>
      <c r="H43" s="21"/>
      <c r="I43" s="21"/>
      <c r="J43" s="21"/>
      <c r="K43" s="21"/>
      <c r="L43" s="21"/>
      <c r="M43" s="21"/>
      <c r="N43" s="21"/>
    </row>
    <row r="44" customFormat="false" ht="15" hidden="false" customHeight="true" outlineLevel="0" collapsed="false">
      <c r="A44" s="81" t="s">
        <v>276</v>
      </c>
      <c r="B44" s="82" t="n">
        <f aca="false">SUM(C5:C16)</f>
        <v>426277.44</v>
      </c>
      <c r="C44" s="82" t="n">
        <f aca="false">SUM(E5:E16)</f>
        <v>97512</v>
      </c>
      <c r="D44" s="82" t="n">
        <f aca="false">B44-C44</f>
        <v>328765.44</v>
      </c>
      <c r="E44" s="82" t="n">
        <f aca="false">SUM(I5:I16)</f>
        <v>12000</v>
      </c>
      <c r="F44" s="82" t="n">
        <f aca="false">D44-E44</f>
        <v>316765.44</v>
      </c>
      <c r="G44" s="83" t="n">
        <f aca="false">F44/E47</f>
        <v>26.39712</v>
      </c>
    </row>
    <row r="45" customFormat="false" ht="15" hidden="false" customHeight="true" outlineLevel="0" collapsed="false">
      <c r="A45" s="81" t="s">
        <v>277</v>
      </c>
      <c r="B45" s="82" t="n">
        <f aca="false">SUM(C17:C28)</f>
        <v>447591.312</v>
      </c>
      <c r="C45" s="82" t="n">
        <f aca="false">SUM(E17:E28)</f>
        <v>102387.6</v>
      </c>
      <c r="D45" s="82" t="n">
        <f aca="false">B45-C45</f>
        <v>345203.712</v>
      </c>
      <c r="E45" s="82" t="s">
        <v>278</v>
      </c>
      <c r="F45" s="82" t="n">
        <f aca="false">D45-E45</f>
        <v>345203.712</v>
      </c>
    </row>
    <row r="46" customFormat="false" ht="15" hidden="false" customHeight="true" outlineLevel="0" collapsed="false">
      <c r="A46" s="81" t="s">
        <v>279</v>
      </c>
      <c r="B46" s="82" t="n">
        <f aca="false">SUM(C29:C40)</f>
        <v>469970.8776</v>
      </c>
      <c r="C46" s="82" t="n">
        <f aca="false">SUM(E29:E40)</f>
        <v>107506.98</v>
      </c>
      <c r="D46" s="82" t="n">
        <f aca="false">B46-C46</f>
        <v>362463.8976</v>
      </c>
      <c r="E46" s="82" t="s">
        <v>278</v>
      </c>
      <c r="F46" s="82" t="n">
        <f aca="false">D46-E46</f>
        <v>362463.8976</v>
      </c>
    </row>
    <row r="47" customFormat="false" ht="26.25" hidden="false" customHeight="true" outlineLevel="0" collapsed="false">
      <c r="A47" s="84" t="s">
        <v>280</v>
      </c>
      <c r="B47" s="85" t="n">
        <f aca="false">SUM(B44:B46)</f>
        <v>1343839.6296</v>
      </c>
      <c r="C47" s="85" t="n">
        <f aca="false">SUM(C44:C46)</f>
        <v>307406.58</v>
      </c>
      <c r="D47" s="85" t="n">
        <f aca="false">SUM(D44:D46)</f>
        <v>1036433.0496</v>
      </c>
      <c r="E47" s="85" t="n">
        <f aca="false">SUM(E44:E46)</f>
        <v>12000</v>
      </c>
      <c r="F47" s="85" t="n">
        <f aca="false">SUM(F44:F46)</f>
        <v>1024433.0496</v>
      </c>
    </row>
  </sheetData>
  <mergeCells count="3">
    <mergeCell ref="A1:N1"/>
    <mergeCell ref="A2:N2"/>
    <mergeCell ref="A42:N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2026-03-24T17:35:24Z</dcterms:created>
  <dc:creator>openpyxl</dc:creator>
  <dc:description/>
  <dc:language>en-US</dc:language>
  <cp:lastModifiedBy/>
  <dcterms:modified xsi:type="dcterms:W3CDTF">2026-03-24T17:35:46Z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